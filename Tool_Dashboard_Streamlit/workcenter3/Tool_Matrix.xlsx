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layamgajendran\Desktop\TOOl CMP app\"/>
    </mc:Choice>
  </mc:AlternateContent>
  <xr:revisionPtr revIDLastSave="0" documentId="13_ncr:1_{A90EF12B-CF3A-4E5A-A180-CEF75C22DCB0}" xr6:coauthVersionLast="47" xr6:coauthVersionMax="47" xr10:uidLastSave="{00000000-0000-0000-0000-000000000000}"/>
  <bookViews>
    <workbookView xWindow="38280" yWindow="-120" windowWidth="29040" windowHeight="15720" activeTab="2" xr2:uid="{E94295C5-F04F-444E-905C-447E9BD79EE8}"/>
  </bookViews>
  <sheets>
    <sheet name="Pivot" sheetId="2" r:id="rId1"/>
    <sheet name="Binary" sheetId="3" r:id="rId2"/>
    <sheet name="Tool_Matrix" sheetId="4" r:id="rId3"/>
    <sheet name="32025" sheetId="1" r:id="rId4"/>
  </sheet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3" i="3"/>
  <c r="B4" i="3"/>
  <c r="B5" i="3"/>
  <c r="B6" i="3"/>
  <c r="B2" i="3"/>
</calcChain>
</file>

<file path=xl/sharedStrings.xml><?xml version="1.0" encoding="utf-8"?>
<sst xmlns="http://schemas.openxmlformats.org/spreadsheetml/2006/main" count="738" uniqueCount="134">
  <si>
    <t>127427</t>
  </si>
  <si>
    <t>8624-R5</t>
  </si>
  <si>
    <t>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</t>
  </si>
  <si>
    <t>LIVE-Z</t>
  </si>
  <si>
    <t>HEAD</t>
  </si>
  <si>
    <t>UPPER</t>
  </si>
  <si>
    <t>DVJNR163DKC3</t>
  </si>
  <si>
    <t>35* OD TURN TOOL - NEW STYLE</t>
  </si>
  <si>
    <t>VNMS332</t>
  </si>
  <si>
    <t>VNMS332 KC5410 KENLOC TURNING INSERT</t>
  </si>
  <si>
    <t>BT-5658</t>
  </si>
  <si>
    <t>11.5P HOB</t>
  </si>
  <si>
    <t>1.625-ZT-PAD</t>
  </si>
  <si>
    <t>1.625 ZT PAD</t>
  </si>
  <si>
    <t>WORK HOLD</t>
  </si>
  <si>
    <t>CNMS432</t>
  </si>
  <si>
    <t>22020S-100L-SPADE</t>
  </si>
  <si>
    <t>22020S-100L SERIES 2 / .968-1.375 SPADE;3.750 FLUTE LENGTH</t>
  </si>
  <si>
    <t>1-1/4-SPADE-INS</t>
  </si>
  <si>
    <t>1-1/4" (1.250) SPADE BLADE;[1.250]</t>
  </si>
  <si>
    <t>C16SCLPR3-7</t>
  </si>
  <si>
    <t>BORE BAR 1" C16SCLPR3 STUBBY</t>
  </si>
  <si>
    <t>CPMT3252LF</t>
  </si>
  <si>
    <t>CPMT3252LF KC5010 KMT TURNING INSERT</t>
  </si>
  <si>
    <t>DGFH32-3</t>
  </si>
  <si>
    <t>.125 ISCAR CUTOFF BLADE</t>
  </si>
  <si>
    <t>DGNM-3202C</t>
  </si>
  <si>
    <t>.125 ISCAR PART OFF INSERT</t>
  </si>
  <si>
    <t>ISCAR-SGTBU-CUTOFF</t>
  </si>
  <si>
    <t>POST TOOL  ISCAR CUTOFF</t>
  </si>
  <si>
    <t>8625-R5</t>
  </si>
  <si>
    <t xml:space="preserve">MACHINE THREADED END  </t>
  </si>
  <si>
    <t>AC2510</t>
  </si>
  <si>
    <t>AC2510 WW ARBOR</t>
  </si>
  <si>
    <t>AC509</t>
  </si>
  <si>
    <t>AC509  1.375-1.405</t>
  </si>
  <si>
    <t>LOWER</t>
  </si>
  <si>
    <t>CT-6002-3</t>
  </si>
  <si>
    <t>LOCATOR;ROBOTICS</t>
  </si>
  <si>
    <t>LSASR16</t>
  </si>
  <si>
    <t>16 PITCH THREAD IN POST TOOL</t>
  </si>
  <si>
    <t>127265</t>
  </si>
  <si>
    <t>2477-DA</t>
  </si>
  <si>
    <t>Chuck Pressure Main:   200 LBS. MACHINE KNURLED END  ***** THIS PROCESS IS FOR DOOSAN'S TO RUN 3 PARTS OFF EACH CASTING.***</t>
  </si>
  <si>
    <t>HARD-JAWS-STD</t>
  </si>
  <si>
    <t>STANDARD HARD JAWS</t>
  </si>
  <si>
    <t>STOPBLOCK750</t>
  </si>
  <si>
    <t>.750 STOP BLOCK (3/4)</t>
  </si>
  <si>
    <t>DCLNR164DKC</t>
  </si>
  <si>
    <t>80*TURN TOOL /DCLNR164DKC;6" O.A.L.</t>
  </si>
  <si>
    <t>LIVE-X</t>
  </si>
  <si>
    <t>1/4SPOTDRL</t>
  </si>
  <si>
    <t>.250 SPOT DRILL</t>
  </si>
  <si>
    <t>1/16DRL</t>
  </si>
  <si>
    <t>1/16" CLEVELAND HS JOB DR.BLK</t>
  </si>
  <si>
    <t>NO.23DRL</t>
  </si>
  <si>
    <t>#23  DRILL.154</t>
  </si>
  <si>
    <t>10-24-H11-PLG</t>
  </si>
  <si>
    <t>10-24 GH11 3FL PLUG TAP</t>
  </si>
  <si>
    <t>10PITCHKNURL</t>
  </si>
  <si>
    <t>POST TOOL;DORIAN HOLDER+10 PITCH WHEELS</t>
  </si>
  <si>
    <t>DA-KGMSR-OD-A4</t>
  </si>
  <si>
    <t>KGMSR 1650 OD POST</t>
  </si>
  <si>
    <t>EVM50R0316MC</t>
  </si>
  <si>
    <t>.125 EVOLUTION OD GRV. BLADE .625 D.O.C.</t>
  </si>
  <si>
    <t>A4G0305M03U02GMN</t>
  </si>
  <si>
    <t>A4G0305M03U02GMN KC5010 A4 .120 WIDE/ .008 RADIUS</t>
  </si>
  <si>
    <t>2478-DA</t>
  </si>
  <si>
    <t xml:space="preserve">Chuck Pressure Main:    150 LBS. MACHINE GROOVED END  </t>
  </si>
  <si>
    <t>AC2710</t>
  </si>
  <si>
    <t>AC2710 WW ARBOR</t>
  </si>
  <si>
    <t>AC719</t>
  </si>
  <si>
    <t>AC719  2.500-2.530</t>
  </si>
  <si>
    <t>NSR163C</t>
  </si>
  <si>
    <t>5 IN. LONG SIZE 3 INSERT</t>
  </si>
  <si>
    <t>NG3125RK</t>
  </si>
  <si>
    <t>NG3125RK KC730 &gt;&gt;ALUM.&lt;&lt;</t>
  </si>
  <si>
    <t>CT-6004-16</t>
  </si>
  <si>
    <t>LOCATOR;3.047 X 2.500</t>
  </si>
  <si>
    <t>127232</t>
  </si>
  <si>
    <t>2815-DA</t>
  </si>
  <si>
    <t xml:space="preserve">Chuck Pressure Main:    150 LBS,  THIS PROGRAM IS FOR REWORKING 702200 INTO 127232  </t>
  </si>
  <si>
    <t>C12SCLPR3-7</t>
  </si>
  <si>
    <t>BORE BAR 3/4 C12SCLPR3 STUBBY</t>
  </si>
  <si>
    <t>NTP3R</t>
  </si>
  <si>
    <t>NTP3R K68 TOP NOTCH THREADING INS</t>
  </si>
  <si>
    <t>120259</t>
  </si>
  <si>
    <t>2041-ZF</t>
  </si>
  <si>
    <t xml:space="preserve">Chuck Pressure Main:   Chuck Pressure Sub:    </t>
  </si>
  <si>
    <t>115312</t>
  </si>
  <si>
    <t>CHUCK JAWS, 3 JAW</t>
  </si>
  <si>
    <t>104121</t>
  </si>
  <si>
    <t>OD CHUCK JAWS</t>
  </si>
  <si>
    <t>STOPBLOCK2.250</t>
  </si>
  <si>
    <t>2.250 STOP BLOCK</t>
  </si>
  <si>
    <t>NR3062R</t>
  </si>
  <si>
    <t>CNMG432MF</t>
  </si>
  <si>
    <t>C16-SCLPR3</t>
  </si>
  <si>
    <t>1" X 7" OAL STUBBY BORE BAR  1 INCH</t>
  </si>
  <si>
    <t>2042-ZF</t>
  </si>
  <si>
    <t>DT-11628</t>
  </si>
  <si>
    <t>DT-11628  OKUMA ARBOR PLATE</t>
  </si>
  <si>
    <t>AC715</t>
  </si>
  <si>
    <t>AC715  2.375-2.405</t>
  </si>
  <si>
    <t>CT-6004-37-NTX</t>
  </si>
  <si>
    <t>LOCATOR [CHECK CABINET #697,OR NTX-1-G];3.250 X 3.035</t>
  </si>
  <si>
    <t>NG3094RK</t>
  </si>
  <si>
    <t>NT3R</t>
  </si>
  <si>
    <t>107859</t>
  </si>
  <si>
    <t>3596-ZF</t>
  </si>
  <si>
    <t>Chuck Pressure Main:    200 Lbs</t>
  </si>
  <si>
    <t>NG3125R</t>
  </si>
  <si>
    <t>3597-ZF</t>
  </si>
  <si>
    <t>Chuck Pressure Main:       200 Lbs  NOTE : STATION #11 MUST BE EMPTY SO NOTHING   HITS THE CHUCK  NOTE : DEBURR 1ST THREAD BEFORE GUAGING FOR   ACCURACY</t>
  </si>
  <si>
    <t>N151.2-185-20-4G</t>
  </si>
  <si>
    <t>INSERT</t>
  </si>
  <si>
    <t>R166.06-16UN01-140</t>
  </si>
  <si>
    <t>INSERT 14 PITCH</t>
  </si>
  <si>
    <t>ItemNumber</t>
  </si>
  <si>
    <t>Operation</t>
  </si>
  <si>
    <t>WorkCenter</t>
  </si>
  <si>
    <t>ChuckingNumber</t>
  </si>
  <si>
    <t>ProgramNumber</t>
  </si>
  <si>
    <t>Notes</t>
  </si>
  <si>
    <t>ToolID</t>
  </si>
  <si>
    <t>ToolNumber</t>
  </si>
  <si>
    <t>Description</t>
  </si>
  <si>
    <t>Turret</t>
  </si>
  <si>
    <t>StationNumber</t>
  </si>
  <si>
    <t>Row Labels</t>
  </si>
  <si>
    <t>Grand Total</t>
  </si>
  <si>
    <t>Column Labels</t>
  </si>
  <si>
    <t>Count of ToolNumber</t>
  </si>
  <si>
    <t>Lables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</si>
</sst>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DD8E6"/>
        <bgColor rgb="FFADD8E6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4" xfId="0" pivotButton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4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yam Gajendran, Gnaneshwar" refreshedDate="45973.309772106484" createdVersion="8" refreshedVersion="8" minRefreshableVersion="3" recordCount="97" xr:uid="{8D113541-F8DC-443F-837F-B2206B1CB8D0}">
  <cacheSource type="worksheet">
    <worksheetSource ref="A1:K98" sheet="32025"/>
  </cacheSource>
  <cacheFields count="11">
    <cacheField name="ItemNumber" numFmtId="0">
      <sharedItems count="5">
        <s v="127427"/>
        <s v="127265"/>
        <s v="127232"/>
        <s v="120259"/>
        <s v="107859"/>
      </sharedItems>
    </cacheField>
    <cacheField name="Operation" numFmtId="0">
      <sharedItems containsSemiMixedTypes="0" containsString="0" containsNumber="1" containsInteger="1" minValue="20" maxValue="22"/>
    </cacheField>
    <cacheField name="WorkCenter" numFmtId="0">
      <sharedItems containsSemiMixedTypes="0" containsString="0" containsNumber="1" containsInteger="1" minValue="32025" maxValue="32025"/>
    </cacheField>
    <cacheField name="ChuckingNumber" numFmtId="0">
      <sharedItems containsSemiMixedTypes="0" containsString="0" containsNumber="1" containsInteger="1" minValue="1" maxValue="2" count="2">
        <n v="1"/>
        <n v="2"/>
      </sharedItems>
    </cacheField>
    <cacheField name="ProgramNumber" numFmtId="0">
      <sharedItems/>
    </cacheField>
    <cacheField name="Notes" numFmtId="0">
      <sharedItems longText="1"/>
    </cacheField>
    <cacheField name="ToolID" numFmtId="0">
      <sharedItems containsSemiMixedTypes="0" containsString="0" containsNumber="1" containsInteger="1" minValue="51225" maxValue="93147"/>
    </cacheField>
    <cacheField name="ToolNumber" numFmtId="0">
      <sharedItems count="50">
        <s v="LIVE-Z"/>
        <s v="DVJNR163DKC3"/>
        <s v="VNMS332"/>
        <s v="BT-5658"/>
        <s v="1.625-ZT-PAD"/>
        <s v="CNMS432"/>
        <s v="22020S-100L-SPADE"/>
        <s v="1-1/4-SPADE-INS"/>
        <s v="C16SCLPR3-7"/>
        <s v="CPMT3252LF"/>
        <s v="DGFH32-3"/>
        <s v="DGNM-3202C"/>
        <s v="ISCAR-SGTBU-CUTOFF"/>
        <s v="AC2510"/>
        <s v="AC509"/>
        <s v="CT-6002-3"/>
        <s v="LSASR16"/>
        <s v="HARD-JAWS-STD"/>
        <s v="STOPBLOCK750"/>
        <s v="DCLNR164DKC"/>
        <s v="LIVE-X"/>
        <s v="1/4SPOTDRL"/>
        <s v="1/16DRL"/>
        <s v="NO.23DRL"/>
        <s v="10-24-H11-PLG"/>
        <s v="10PITCHKNURL"/>
        <s v="DA-KGMSR-OD-A4"/>
        <s v="EVM50R0316MC"/>
        <s v="A4G0305M03U02GMN"/>
        <s v="AC2710"/>
        <s v="AC719"/>
        <s v="NSR163C"/>
        <s v="NG3125RK"/>
        <s v="CT-6004-16"/>
        <s v="C12SCLPR3-7"/>
        <s v="NTP3R"/>
        <s v="115312"/>
        <s v="104121"/>
        <s v="STOPBLOCK2.250"/>
        <s v="NR3062R"/>
        <s v="CNMG432MF"/>
        <s v="C16-SCLPR3"/>
        <s v="DT-11628"/>
        <s v="AC715"/>
        <s v="CT-6004-37-NTX"/>
        <s v="NG3094RK"/>
        <s v="NT3R"/>
        <s v="NG3125R"/>
        <s v="N151.2-185-20-4G"/>
        <s v="R166.06-16UN01-140"/>
      </sharedItems>
    </cacheField>
    <cacheField name="Description" numFmtId="0">
      <sharedItems/>
    </cacheField>
    <cacheField name="Turret" numFmtId="0">
      <sharedItems/>
    </cacheField>
    <cacheField name="StationNumber" numFmtId="0">
      <sharedItems containsSemiMixedTypes="0" containsString="0" containsNumber="1" containsInteger="1" minValue="0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51233"/>
    <x v="0"/>
    <s v="HEAD"/>
    <s v="UPPER"/>
    <n v="9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51235"/>
    <x v="1"/>
    <s v="35* OD TURN TOOL - NEW STYLE"/>
    <s v="UPPER"/>
    <n v="2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51236"/>
    <x v="2"/>
    <s v="VNMS332 KC5410 KENLOC TURNING INSERT"/>
    <s v="UPPER"/>
    <n v="2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51244"/>
    <x v="3"/>
    <s v="11.5P HOB"/>
    <s v="UPPER"/>
    <n v="9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51225"/>
    <x v="4"/>
    <s v="1.625 ZT PAD"/>
    <s v="WORK HOLD"/>
    <n v="0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51226"/>
    <x v="5"/>
    <s v="CNMS432"/>
    <s v="UPPER"/>
    <n v="1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51227"/>
    <x v="6"/>
    <s v="22020S-100L SERIES 2 / .968-1.375 SPADE;3.750 FLUTE LENGTH"/>
    <s v="UPPER"/>
    <n v="7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51228"/>
    <x v="7"/>
    <s v="1-1/4&quot; (1.250) SPADE BLADE;[1.250]"/>
    <s v="UPPER"/>
    <n v="7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51229"/>
    <x v="8"/>
    <s v="BORE BAR 1&quot; C16SCLPR3 STUBBY"/>
    <s v="UPPER"/>
    <n v="3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51230"/>
    <x v="9"/>
    <s v="CPMT3252LF KC5010 KMT TURNING INSERT"/>
    <s v="UPPER"/>
    <n v="3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93145"/>
    <x v="10"/>
    <s v=".125 ISCAR CUTOFF BLADE"/>
    <s v="UPPER"/>
    <n v="12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93146"/>
    <x v="11"/>
    <s v=".125 ISCAR PART OFF INSERT"/>
    <s v="UPPER"/>
    <n v="12"/>
  </r>
  <r>
    <x v="0"/>
    <n v="20"/>
    <n v="32025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93147"/>
    <x v="12"/>
    <s v="POST TOOL  ISCAR CUTOFF"/>
    <s v="UPPER"/>
    <n v="12"/>
  </r>
  <r>
    <x v="0"/>
    <n v="20"/>
    <n v="32025"/>
    <x v="1"/>
    <s v="8625-R5"/>
    <s v="MACHINE THREADED END  "/>
    <n v="51237"/>
    <x v="13"/>
    <s v="AC2510 WW ARBOR"/>
    <s v="WORK HOLD"/>
    <n v="0"/>
  </r>
  <r>
    <x v="0"/>
    <n v="20"/>
    <n v="32025"/>
    <x v="1"/>
    <s v="8625-R5"/>
    <s v="MACHINE THREADED END  "/>
    <n v="51238"/>
    <x v="14"/>
    <s v="AC509  1.375-1.405"/>
    <s v="WORK HOLD"/>
    <n v="0"/>
  </r>
  <r>
    <x v="0"/>
    <n v="20"/>
    <n v="32025"/>
    <x v="1"/>
    <s v="8625-R5"/>
    <s v="MACHINE THREADED END  "/>
    <n v="51240"/>
    <x v="1"/>
    <s v="35* OD TURN TOOL - NEW STYLE"/>
    <s v="LOWER"/>
    <n v="32"/>
  </r>
  <r>
    <x v="0"/>
    <n v="20"/>
    <n v="32025"/>
    <x v="1"/>
    <s v="8625-R5"/>
    <s v="MACHINE THREADED END  "/>
    <n v="51241"/>
    <x v="2"/>
    <s v="VNMS332 KC5410 KENLOC TURNING INSERT"/>
    <s v="LOWER"/>
    <n v="32"/>
  </r>
  <r>
    <x v="0"/>
    <n v="20"/>
    <n v="32025"/>
    <x v="1"/>
    <s v="8625-R5"/>
    <s v="MACHINE THREADED END  "/>
    <n v="51242"/>
    <x v="8"/>
    <s v="BORE BAR 1&quot; C16SCLPR3 STUBBY"/>
    <s v="LOWER"/>
    <n v="33"/>
  </r>
  <r>
    <x v="0"/>
    <n v="20"/>
    <n v="32025"/>
    <x v="1"/>
    <s v="8625-R5"/>
    <s v="MACHINE THREADED END  "/>
    <n v="51243"/>
    <x v="9"/>
    <s v="CPMT3252LF KC5010 KMT TURNING INSERT"/>
    <s v="LOWER"/>
    <n v="33"/>
  </r>
  <r>
    <x v="0"/>
    <n v="20"/>
    <n v="32025"/>
    <x v="1"/>
    <s v="8625-R5"/>
    <s v="MACHINE THREADED END  "/>
    <n v="51266"/>
    <x v="15"/>
    <s v="LOCATOR;ROBOTICS"/>
    <s v="WORK HOLD"/>
    <n v="0"/>
  </r>
  <r>
    <x v="0"/>
    <n v="20"/>
    <n v="32025"/>
    <x v="1"/>
    <s v="8625-R5"/>
    <s v="MACHINE THREADED END  "/>
    <n v="51267"/>
    <x v="16"/>
    <s v="16 PITCH THREAD IN POST TOOL"/>
    <s v="LOWER"/>
    <n v="34"/>
  </r>
  <r>
    <x v="1"/>
    <n v="22"/>
    <n v="32025"/>
    <x v="0"/>
    <s v="2477-DA"/>
    <s v="Chuck Pressure Main:   200 LBS. MACHINE KNURLED END  ***** THIS PROCESS IS FOR DOOSAN'S TO RUN 3 PARTS OFF EACH CASTING.***"/>
    <n v="58154"/>
    <x v="17"/>
    <s v="STANDARD HARD JAWS"/>
    <s v="WORK HOLD"/>
    <n v="0"/>
  </r>
  <r>
    <x v="1"/>
    <n v="22"/>
    <n v="32025"/>
    <x v="0"/>
    <s v="2477-DA"/>
    <s v="Chuck Pressure Main:   200 LBS. MACHINE KNURLED END  ***** THIS PROCESS IS FOR DOOSAN'S TO RUN 3 PARTS OFF EACH CASTING.***"/>
    <n v="58155"/>
    <x v="18"/>
    <s v=".750 STOP BLOCK (3/4)"/>
    <s v="WORK HOLD"/>
    <n v="0"/>
  </r>
  <r>
    <x v="1"/>
    <n v="22"/>
    <n v="32025"/>
    <x v="0"/>
    <s v="2477-DA"/>
    <s v="Chuck Pressure Main:   200 LBS. MACHINE KNURLED END  ***** THIS PROCESS IS FOR DOOSAN'S TO RUN 3 PARTS OFF EACH CASTING.***"/>
    <n v="58156"/>
    <x v="19"/>
    <s v="80*TURN TOOL /DCLNR164DKC;6&quot; O.A.L."/>
    <s v="UPPER"/>
    <n v="1"/>
  </r>
  <r>
    <x v="1"/>
    <n v="22"/>
    <n v="32025"/>
    <x v="0"/>
    <s v="2477-DA"/>
    <s v="Chuck Pressure Main:   200 LBS. MACHINE KNURLED END  ***** THIS PROCESS IS FOR DOOSAN'S TO RUN 3 PARTS OFF EACH CASTING.***"/>
    <n v="58157"/>
    <x v="5"/>
    <s v="CNMS432"/>
    <s v="UPPER"/>
    <n v="1"/>
  </r>
  <r>
    <x v="1"/>
    <n v="22"/>
    <n v="32025"/>
    <x v="0"/>
    <s v="2477-DA"/>
    <s v="Chuck Pressure Main:   200 LBS. MACHINE KNURLED END  ***** THIS PROCESS IS FOR DOOSAN'S TO RUN 3 PARTS OFF EACH CASTING.***"/>
    <n v="58158"/>
    <x v="8"/>
    <s v="BORE BAR 1&quot; C16SCLPR3 STUBBY"/>
    <s v="UPPER"/>
    <n v="3"/>
  </r>
  <r>
    <x v="1"/>
    <n v="22"/>
    <n v="32025"/>
    <x v="0"/>
    <s v="2477-DA"/>
    <s v="Chuck Pressure Main:   200 LBS. MACHINE KNURLED END  ***** THIS PROCESS IS FOR DOOSAN'S TO RUN 3 PARTS OFF EACH CASTING.***"/>
    <n v="58159"/>
    <x v="9"/>
    <s v="CPMT3252LF KC5010 KMT TURNING INSERT"/>
    <s v="UPPER"/>
    <n v="3"/>
  </r>
  <r>
    <x v="1"/>
    <n v="22"/>
    <n v="32025"/>
    <x v="0"/>
    <s v="2477-DA"/>
    <s v="Chuck Pressure Main:   200 LBS. MACHINE KNURLED END  ***** THIS PROCESS IS FOR DOOSAN'S TO RUN 3 PARTS OFF EACH CASTING.***"/>
    <n v="58160"/>
    <x v="20"/>
    <s v="HEAD"/>
    <s v="UPPER"/>
    <n v="6"/>
  </r>
  <r>
    <x v="1"/>
    <n v="22"/>
    <n v="32025"/>
    <x v="0"/>
    <s v="2477-DA"/>
    <s v="Chuck Pressure Main:   200 LBS. MACHINE KNURLED END  ***** THIS PROCESS IS FOR DOOSAN'S TO RUN 3 PARTS OFF EACH CASTING.***"/>
    <n v="58161"/>
    <x v="20"/>
    <s v="HEAD"/>
    <s v="UPPER"/>
    <n v="8"/>
  </r>
  <r>
    <x v="1"/>
    <n v="22"/>
    <n v="32025"/>
    <x v="0"/>
    <s v="2477-DA"/>
    <s v="Chuck Pressure Main:   200 LBS. MACHINE KNURLED END  ***** THIS PROCESS IS FOR DOOSAN'S TO RUN 3 PARTS OFF EACH CASTING.***"/>
    <n v="58162"/>
    <x v="20"/>
    <s v="HEAD"/>
    <s v="UPPER"/>
    <n v="10"/>
  </r>
  <r>
    <x v="1"/>
    <n v="22"/>
    <n v="32025"/>
    <x v="0"/>
    <s v="2477-DA"/>
    <s v="Chuck Pressure Main:   200 LBS. MACHINE KNURLED END  ***** THIS PROCESS IS FOR DOOSAN'S TO RUN 3 PARTS OFF EACH CASTING.***"/>
    <n v="58163"/>
    <x v="20"/>
    <s v="HEAD"/>
    <s v="UPPER"/>
    <n v="2"/>
  </r>
  <r>
    <x v="1"/>
    <n v="22"/>
    <n v="32025"/>
    <x v="0"/>
    <s v="2477-DA"/>
    <s v="Chuck Pressure Main:   200 LBS. MACHINE KNURLED END  ***** THIS PROCESS IS FOR DOOSAN'S TO RUN 3 PARTS OFF EACH CASTING.***"/>
    <n v="58164"/>
    <x v="21"/>
    <s v=".250 SPOT DRILL"/>
    <s v="UPPER"/>
    <n v="8"/>
  </r>
  <r>
    <x v="1"/>
    <n v="22"/>
    <n v="32025"/>
    <x v="0"/>
    <s v="2477-DA"/>
    <s v="Chuck Pressure Main:   200 LBS. MACHINE KNURLED END  ***** THIS PROCESS IS FOR DOOSAN'S TO RUN 3 PARTS OFF EACH CASTING.***"/>
    <n v="58165"/>
    <x v="22"/>
    <s v="1/16&quot; CLEVELAND HS JOB DR.BLK"/>
    <s v="UPPER"/>
    <n v="10"/>
  </r>
  <r>
    <x v="1"/>
    <n v="22"/>
    <n v="32025"/>
    <x v="0"/>
    <s v="2477-DA"/>
    <s v="Chuck Pressure Main:   200 LBS. MACHINE KNURLED END  ***** THIS PROCESS IS FOR DOOSAN'S TO RUN 3 PARTS OFF EACH CASTING.***"/>
    <n v="58166"/>
    <x v="23"/>
    <s v="#23  DRILL.154"/>
    <s v="UPPER"/>
    <n v="6"/>
  </r>
  <r>
    <x v="1"/>
    <n v="22"/>
    <n v="32025"/>
    <x v="0"/>
    <s v="2477-DA"/>
    <s v="Chuck Pressure Main:   200 LBS. MACHINE KNURLED END  ***** THIS PROCESS IS FOR DOOSAN'S TO RUN 3 PARTS OFF EACH CASTING.***"/>
    <n v="58167"/>
    <x v="24"/>
    <s v="10-24 GH11 3FL PLUG TAP"/>
    <s v="UPPER"/>
    <n v="2"/>
  </r>
  <r>
    <x v="1"/>
    <n v="22"/>
    <n v="32025"/>
    <x v="0"/>
    <s v="2477-DA"/>
    <s v="Chuck Pressure Main:   200 LBS. MACHINE KNURLED END  ***** THIS PROCESS IS FOR DOOSAN'S TO RUN 3 PARTS OFF EACH CASTING.***"/>
    <n v="58168"/>
    <x v="25"/>
    <s v="POST TOOL;DORIAN HOLDER+10 PITCH WHEELS"/>
    <s v="UPPER"/>
    <n v="4"/>
  </r>
  <r>
    <x v="1"/>
    <n v="22"/>
    <n v="32025"/>
    <x v="0"/>
    <s v="2477-DA"/>
    <s v="Chuck Pressure Main:   200 LBS. MACHINE KNURLED END  ***** THIS PROCESS IS FOR DOOSAN'S TO RUN 3 PARTS OFF EACH CASTING.***"/>
    <n v="58169"/>
    <x v="26"/>
    <s v="KGMSR 1650 OD POST"/>
    <s v="UPPER"/>
    <n v="12"/>
  </r>
  <r>
    <x v="1"/>
    <n v="22"/>
    <n v="32025"/>
    <x v="0"/>
    <s v="2477-DA"/>
    <s v="Chuck Pressure Main:   200 LBS. MACHINE KNURLED END  ***** THIS PROCESS IS FOR DOOSAN'S TO RUN 3 PARTS OFF EACH CASTING.***"/>
    <n v="58170"/>
    <x v="27"/>
    <s v=".125 EVOLUTION OD GRV. BLADE .625 D.O.C."/>
    <s v="UPPER"/>
    <n v="12"/>
  </r>
  <r>
    <x v="1"/>
    <n v="22"/>
    <n v="32025"/>
    <x v="0"/>
    <s v="2477-DA"/>
    <s v="Chuck Pressure Main:   200 LBS. MACHINE KNURLED END  ***** THIS PROCESS IS FOR DOOSAN'S TO RUN 3 PARTS OFF EACH CASTING.***"/>
    <n v="58171"/>
    <x v="28"/>
    <s v="A4G0305M03U02GMN KC5010 A4 .120 WIDE/ .008 RADIUS"/>
    <s v="UPPER"/>
    <n v="12"/>
  </r>
  <r>
    <x v="1"/>
    <n v="22"/>
    <n v="32025"/>
    <x v="1"/>
    <s v="2478-DA"/>
    <s v="Chuck Pressure Main:    150 LBS. MACHINE GROOVED END  "/>
    <n v="58172"/>
    <x v="29"/>
    <s v="AC2710 WW ARBOR"/>
    <s v="WORK HOLD"/>
    <n v="0"/>
  </r>
  <r>
    <x v="1"/>
    <n v="22"/>
    <n v="32025"/>
    <x v="1"/>
    <s v="2478-DA"/>
    <s v="Chuck Pressure Main:    150 LBS. MACHINE GROOVED END  "/>
    <n v="58173"/>
    <x v="30"/>
    <s v="AC719  2.500-2.530"/>
    <s v="WORK HOLD"/>
    <n v="0"/>
  </r>
  <r>
    <x v="1"/>
    <n v="22"/>
    <n v="32025"/>
    <x v="1"/>
    <s v="2478-DA"/>
    <s v="Chuck Pressure Main:    150 LBS. MACHINE GROOVED END  "/>
    <n v="58175"/>
    <x v="19"/>
    <s v="80*TURN TOOL /DCLNR164DKC;6&quot; O.A.L."/>
    <s v="UPPER"/>
    <n v="1"/>
  </r>
  <r>
    <x v="1"/>
    <n v="22"/>
    <n v="32025"/>
    <x v="1"/>
    <s v="2478-DA"/>
    <s v="Chuck Pressure Main:    150 LBS. MACHINE GROOVED END  "/>
    <n v="58176"/>
    <x v="5"/>
    <s v="CNMS432"/>
    <s v="UPPER"/>
    <n v="1"/>
  </r>
  <r>
    <x v="1"/>
    <n v="22"/>
    <n v="32025"/>
    <x v="1"/>
    <s v="2478-DA"/>
    <s v="Chuck Pressure Main:    150 LBS. MACHINE GROOVED END  "/>
    <n v="58177"/>
    <x v="31"/>
    <s v="5 IN. LONG SIZE 3 INSERT"/>
    <s v="UPPER"/>
    <n v="1"/>
  </r>
  <r>
    <x v="1"/>
    <n v="22"/>
    <n v="32025"/>
    <x v="1"/>
    <s v="2478-DA"/>
    <s v="Chuck Pressure Main:    150 LBS. MACHINE GROOVED END  "/>
    <n v="58178"/>
    <x v="32"/>
    <s v="NG3125RK KC730 &gt;&gt;ALUM.&lt;&lt;"/>
    <s v="UPPER"/>
    <n v="1"/>
  </r>
  <r>
    <x v="1"/>
    <n v="22"/>
    <n v="32025"/>
    <x v="1"/>
    <s v="2478-DA"/>
    <s v="Chuck Pressure Main:    150 LBS. MACHINE GROOVED END  "/>
    <n v="58179"/>
    <x v="8"/>
    <s v="BORE BAR 1&quot; C16SCLPR3 STUBBY"/>
    <s v="UPPER"/>
    <n v="3"/>
  </r>
  <r>
    <x v="1"/>
    <n v="22"/>
    <n v="32025"/>
    <x v="1"/>
    <s v="2478-DA"/>
    <s v="Chuck Pressure Main:    150 LBS. MACHINE GROOVED END  "/>
    <n v="58180"/>
    <x v="9"/>
    <s v="CPMT3252LF KC5010 KMT TURNING INSERT"/>
    <s v="UPPER"/>
    <n v="3"/>
  </r>
  <r>
    <x v="1"/>
    <n v="22"/>
    <n v="32025"/>
    <x v="1"/>
    <s v="2478-DA"/>
    <s v="Chuck Pressure Main:    150 LBS. MACHINE GROOVED END  "/>
    <n v="62314"/>
    <x v="33"/>
    <s v="LOCATOR;3.047 X 2.500"/>
    <s v="WORK HOLD"/>
    <n v="0"/>
  </r>
  <r>
    <x v="2"/>
    <n v="20"/>
    <n v="32025"/>
    <x v="0"/>
    <s v="2815-DA"/>
    <s v="Chuck Pressure Main:    150 LBS,  THIS PROGRAM IS FOR REWORKING 702200 INTO 127232  "/>
    <n v="62953"/>
    <x v="13"/>
    <s v="AC2510 WW ARBOR"/>
    <s v="WORK HOLD"/>
    <n v="0"/>
  </r>
  <r>
    <x v="2"/>
    <n v="20"/>
    <n v="32025"/>
    <x v="0"/>
    <s v="2815-DA"/>
    <s v="Chuck Pressure Main:    150 LBS,  THIS PROGRAM IS FOR REWORKING 702200 INTO 127232  "/>
    <n v="62954"/>
    <x v="14"/>
    <s v="AC509  1.375-1.405"/>
    <s v="WORK HOLD"/>
    <n v="0"/>
  </r>
  <r>
    <x v="2"/>
    <n v="20"/>
    <n v="32025"/>
    <x v="0"/>
    <s v="2815-DA"/>
    <s v="Chuck Pressure Main:    150 LBS,  THIS PROGRAM IS FOR REWORKING 702200 INTO 127232  "/>
    <n v="62955"/>
    <x v="19"/>
    <s v="80*TURN TOOL /DCLNR164DKC;6&quot; O.A.L."/>
    <s v="UPPER"/>
    <n v="1"/>
  </r>
  <r>
    <x v="2"/>
    <n v="20"/>
    <n v="32025"/>
    <x v="0"/>
    <s v="2815-DA"/>
    <s v="Chuck Pressure Main:    150 LBS,  THIS PROGRAM IS FOR REWORKING 702200 INTO 127232  "/>
    <n v="62956"/>
    <x v="5"/>
    <s v="CNMS432"/>
    <s v="UPPER"/>
    <n v="1"/>
  </r>
  <r>
    <x v="2"/>
    <n v="20"/>
    <n v="32025"/>
    <x v="0"/>
    <s v="2815-DA"/>
    <s v="Chuck Pressure Main:    150 LBS,  THIS PROGRAM IS FOR REWORKING 702200 INTO 127232  "/>
    <n v="62957"/>
    <x v="34"/>
    <s v="BORE BAR 3/4 C12SCLPR3 STUBBY"/>
    <s v="UPPER"/>
    <n v="3"/>
  </r>
  <r>
    <x v="2"/>
    <n v="20"/>
    <n v="32025"/>
    <x v="0"/>
    <s v="2815-DA"/>
    <s v="Chuck Pressure Main:    150 LBS,  THIS PROGRAM IS FOR REWORKING 702200 INTO 127232  "/>
    <n v="62958"/>
    <x v="9"/>
    <s v="CPMT3252LF KC5010 KMT TURNING INSERT"/>
    <s v="UPPER"/>
    <n v="3"/>
  </r>
  <r>
    <x v="2"/>
    <n v="20"/>
    <n v="32025"/>
    <x v="0"/>
    <s v="2815-DA"/>
    <s v="Chuck Pressure Main:    150 LBS,  THIS PROGRAM IS FOR REWORKING 702200 INTO 127232  "/>
    <n v="62959"/>
    <x v="31"/>
    <s v="5 IN. LONG SIZE 3 INSERT"/>
    <s v="UPPER"/>
    <n v="1"/>
  </r>
  <r>
    <x v="2"/>
    <n v="20"/>
    <n v="32025"/>
    <x v="0"/>
    <s v="2815-DA"/>
    <s v="Chuck Pressure Main:    150 LBS,  THIS PROGRAM IS FOR REWORKING 702200 INTO 127232  "/>
    <n v="62960"/>
    <x v="32"/>
    <s v="NG3125RK KC730 &gt;&gt;ALUM.&lt;&lt;"/>
    <s v="UPPER"/>
    <n v="1"/>
  </r>
  <r>
    <x v="2"/>
    <n v="20"/>
    <n v="32025"/>
    <x v="0"/>
    <s v="2815-DA"/>
    <s v="Chuck Pressure Main:    150 LBS,  THIS PROGRAM IS FOR REWORKING 702200 INTO 127232  "/>
    <n v="62963"/>
    <x v="31"/>
    <s v="5 IN. LONG SIZE 3 INSERT"/>
    <s v="UPPER"/>
    <n v="11"/>
  </r>
  <r>
    <x v="2"/>
    <n v="20"/>
    <n v="32025"/>
    <x v="0"/>
    <s v="2815-DA"/>
    <s v="Chuck Pressure Main:    150 LBS,  THIS PROGRAM IS FOR REWORKING 702200 INTO 127232  "/>
    <n v="62964"/>
    <x v="35"/>
    <s v="NTP3R K68 TOP NOTCH THREADING INS"/>
    <s v="UPPER"/>
    <n v="11"/>
  </r>
  <r>
    <x v="2"/>
    <n v="20"/>
    <n v="32025"/>
    <x v="0"/>
    <s v="2815-DA"/>
    <s v="Chuck Pressure Main:    150 LBS,  THIS PROGRAM IS FOR REWORKING 702200 INTO 127232  "/>
    <n v="93124"/>
    <x v="10"/>
    <s v=".125 ISCAR CUTOFF BLADE"/>
    <s v="UPPER"/>
    <n v="6"/>
  </r>
  <r>
    <x v="2"/>
    <n v="20"/>
    <n v="32025"/>
    <x v="0"/>
    <s v="2815-DA"/>
    <s v="Chuck Pressure Main:    150 LBS,  THIS PROGRAM IS FOR REWORKING 702200 INTO 127232  "/>
    <n v="93125"/>
    <x v="11"/>
    <s v=".125 ISCAR PART OFF INSERT"/>
    <s v="UPPER"/>
    <n v="6"/>
  </r>
  <r>
    <x v="2"/>
    <n v="20"/>
    <n v="32025"/>
    <x v="0"/>
    <s v="2815-DA"/>
    <s v="Chuck Pressure Main:    150 LBS,  THIS PROGRAM IS FOR REWORKING 702200 INTO 127232  "/>
    <n v="93126"/>
    <x v="12"/>
    <s v="POST TOOL  ISCAR CUTOFF"/>
    <s v="UPPER"/>
    <n v="6"/>
  </r>
  <r>
    <x v="3"/>
    <n v="20"/>
    <n v="32025"/>
    <x v="0"/>
    <s v="2041-ZF"/>
    <s v="Chuck Pressure Main:   Chuck Pressure Sub:    "/>
    <n v="85955"/>
    <x v="36"/>
    <s v="CHUCK JAWS, 3 JAW"/>
    <s v="WORK HOLD"/>
    <n v="0"/>
  </r>
  <r>
    <x v="3"/>
    <n v="20"/>
    <n v="32025"/>
    <x v="0"/>
    <s v="2041-ZF"/>
    <s v="Chuck Pressure Main:   Chuck Pressure Sub:    "/>
    <n v="85956"/>
    <x v="37"/>
    <s v="OD CHUCK JAWS"/>
    <s v="WORK HOLD"/>
    <n v="0"/>
  </r>
  <r>
    <x v="3"/>
    <n v="20"/>
    <n v="32025"/>
    <x v="0"/>
    <s v="2041-ZF"/>
    <s v="Chuck Pressure Main:   Chuck Pressure Sub:    "/>
    <n v="85957"/>
    <x v="38"/>
    <s v="2.250 STOP BLOCK"/>
    <s v="WORK HOLD"/>
    <n v="0"/>
  </r>
  <r>
    <x v="3"/>
    <n v="20"/>
    <n v="32025"/>
    <x v="0"/>
    <s v="2041-ZF"/>
    <s v="Chuck Pressure Main:   Chuck Pressure Sub:    "/>
    <n v="85962"/>
    <x v="31"/>
    <s v="5 IN. LONG SIZE 3 INSERT"/>
    <s v="UPPER"/>
    <n v="12"/>
  </r>
  <r>
    <x v="3"/>
    <n v="20"/>
    <n v="32025"/>
    <x v="0"/>
    <s v="2041-ZF"/>
    <s v="Chuck Pressure Main:   Chuck Pressure Sub:    "/>
    <n v="85963"/>
    <x v="39"/>
    <s v="NR3062R"/>
    <s v="UPPER"/>
    <n v="12"/>
  </r>
  <r>
    <x v="3"/>
    <n v="20"/>
    <n v="32025"/>
    <x v="0"/>
    <s v="2041-ZF"/>
    <s v="Chuck Pressure Main:   Chuck Pressure Sub:    "/>
    <n v="85958"/>
    <x v="19"/>
    <s v="80*TURN TOOL /DCLNR164DKC;6&quot; O.A.L."/>
    <s v="UPPER"/>
    <n v="1"/>
  </r>
  <r>
    <x v="3"/>
    <n v="20"/>
    <n v="32025"/>
    <x v="0"/>
    <s v="2041-ZF"/>
    <s v="Chuck Pressure Main:   Chuck Pressure Sub:    "/>
    <n v="85959"/>
    <x v="40"/>
    <s v="CNMG432MF"/>
    <s v="UPPER"/>
    <n v="1"/>
  </r>
  <r>
    <x v="3"/>
    <n v="20"/>
    <n v="32025"/>
    <x v="0"/>
    <s v="2041-ZF"/>
    <s v="Chuck Pressure Main:   Chuck Pressure Sub:    "/>
    <n v="85960"/>
    <x v="41"/>
    <s v="1&quot; X 7&quot; OAL STUBBY BORE BAR  1 INCH"/>
    <s v="UPPER"/>
    <n v="3"/>
  </r>
  <r>
    <x v="3"/>
    <n v="20"/>
    <n v="32025"/>
    <x v="0"/>
    <s v="2041-ZF"/>
    <s v="Chuck Pressure Main:   Chuck Pressure Sub:    "/>
    <n v="85961"/>
    <x v="9"/>
    <s v="CPMT3252LF"/>
    <s v="UPPER"/>
    <n v="3"/>
  </r>
  <r>
    <x v="3"/>
    <n v="20"/>
    <n v="32025"/>
    <x v="1"/>
    <s v="2042-ZF"/>
    <s v="Chuck Pressure Main:   Chuck Pressure Sub:    "/>
    <n v="85964"/>
    <x v="36"/>
    <s v="CHUCK JAWS, 3 JAW"/>
    <s v="WORK HOLD"/>
    <n v="0"/>
  </r>
  <r>
    <x v="3"/>
    <n v="20"/>
    <n v="32025"/>
    <x v="1"/>
    <s v="2042-ZF"/>
    <s v="Chuck Pressure Main:   Chuck Pressure Sub:    "/>
    <n v="85965"/>
    <x v="42"/>
    <s v="DT-11628  OKUMA ARBOR PLATE"/>
    <s v="WORK HOLD"/>
    <n v="0"/>
  </r>
  <r>
    <x v="3"/>
    <n v="20"/>
    <n v="32025"/>
    <x v="1"/>
    <s v="2042-ZF"/>
    <s v="Chuck Pressure Main:   Chuck Pressure Sub:    "/>
    <n v="85966"/>
    <x v="29"/>
    <s v="AC2710 WW ARBOR"/>
    <s v="WORK HOLD"/>
    <n v="0"/>
  </r>
  <r>
    <x v="3"/>
    <n v="20"/>
    <n v="32025"/>
    <x v="1"/>
    <s v="2042-ZF"/>
    <s v="Chuck Pressure Main:   Chuck Pressure Sub:    "/>
    <n v="85967"/>
    <x v="43"/>
    <s v="AC715  2.375-2.405"/>
    <s v="WORK HOLD"/>
    <n v="0"/>
  </r>
  <r>
    <x v="3"/>
    <n v="20"/>
    <n v="32025"/>
    <x v="1"/>
    <s v="2042-ZF"/>
    <s v="Chuck Pressure Main:   Chuck Pressure Sub:    "/>
    <n v="85968"/>
    <x v="44"/>
    <s v="LOCATOR [CHECK CABINET #697,OR NTX-1-G];3.250 X 3.035"/>
    <s v="WORK HOLD"/>
    <n v="0"/>
  </r>
  <r>
    <x v="3"/>
    <n v="20"/>
    <n v="32025"/>
    <x v="1"/>
    <s v="2042-ZF"/>
    <s v="Chuck Pressure Main:   Chuck Pressure Sub:    "/>
    <n v="85969"/>
    <x v="19"/>
    <s v="80*TURN TOOL /DCLNR164DKC;6&quot; O.A.L."/>
    <s v="UPPER"/>
    <n v="1"/>
  </r>
  <r>
    <x v="3"/>
    <n v="20"/>
    <n v="32025"/>
    <x v="1"/>
    <s v="2042-ZF"/>
    <s v="Chuck Pressure Main:   Chuck Pressure Sub:    "/>
    <n v="85970"/>
    <x v="40"/>
    <s v="CNMG432MF"/>
    <s v="UPPER"/>
    <n v="1"/>
  </r>
  <r>
    <x v="3"/>
    <n v="20"/>
    <n v="32025"/>
    <x v="1"/>
    <s v="2042-ZF"/>
    <s v="Chuck Pressure Main:   Chuck Pressure Sub:    "/>
    <n v="85971"/>
    <x v="41"/>
    <s v="1&quot; X 7&quot; OAL STUBBY BORE BAR  1 INCH"/>
    <s v="UPPER"/>
    <n v="3"/>
  </r>
  <r>
    <x v="3"/>
    <n v="20"/>
    <n v="32025"/>
    <x v="1"/>
    <s v="2042-ZF"/>
    <s v="Chuck Pressure Main:   Chuck Pressure Sub:    "/>
    <n v="85972"/>
    <x v="9"/>
    <s v="CPMT3252LF"/>
    <s v="UPPER"/>
    <n v="3"/>
  </r>
  <r>
    <x v="3"/>
    <n v="20"/>
    <n v="32025"/>
    <x v="1"/>
    <s v="2042-ZF"/>
    <s v="Chuck Pressure Main:   Chuck Pressure Sub:    "/>
    <n v="85973"/>
    <x v="31"/>
    <s v="5 IN. LONG SIZE 3 INSERT"/>
    <s v="UPPER"/>
    <n v="11"/>
  </r>
  <r>
    <x v="3"/>
    <n v="20"/>
    <n v="32025"/>
    <x v="1"/>
    <s v="2042-ZF"/>
    <s v="Chuck Pressure Main:   Chuck Pressure Sub:    "/>
    <n v="85974"/>
    <x v="45"/>
    <s v="NG3094RK"/>
    <s v="UPPER"/>
    <n v="11"/>
  </r>
  <r>
    <x v="3"/>
    <n v="20"/>
    <n v="32025"/>
    <x v="1"/>
    <s v="2042-ZF"/>
    <s v="Chuck Pressure Main:   Chuck Pressure Sub:    "/>
    <n v="85975"/>
    <x v="31"/>
    <s v="5 IN. LONG SIZE 3 INSERT"/>
    <s v="UPPER"/>
    <n v="12"/>
  </r>
  <r>
    <x v="3"/>
    <n v="20"/>
    <n v="32025"/>
    <x v="1"/>
    <s v="2042-ZF"/>
    <s v="Chuck Pressure Main:   Chuck Pressure Sub:    "/>
    <n v="85976"/>
    <x v="46"/>
    <s v="NT3R"/>
    <s v="UPPER"/>
    <n v="12"/>
  </r>
  <r>
    <x v="4"/>
    <n v="20"/>
    <n v="32025"/>
    <x v="0"/>
    <s v="3596-ZF"/>
    <s v="Chuck Pressure Main:    200 Lbs"/>
    <n v="86554"/>
    <x v="19"/>
    <s v="80*TURN TOOL /DCLNR164DKC;6&quot; O.A.L."/>
    <s v="UPPER"/>
    <n v="1"/>
  </r>
  <r>
    <x v="4"/>
    <n v="20"/>
    <n v="32025"/>
    <x v="0"/>
    <s v="3596-ZF"/>
    <s v="Chuck Pressure Main:    200 Lbs"/>
    <n v="86555"/>
    <x v="5"/>
    <s v="CNMS432"/>
    <s v="UPPER"/>
    <n v="1"/>
  </r>
  <r>
    <x v="4"/>
    <n v="20"/>
    <n v="32025"/>
    <x v="0"/>
    <s v="3596-ZF"/>
    <s v="Chuck Pressure Main:    200 Lbs"/>
    <n v="86556"/>
    <x v="34"/>
    <s v="BORE BAR 3/4 C12SCLPR3 STUBBY"/>
    <s v="UPPER"/>
    <n v="2"/>
  </r>
  <r>
    <x v="4"/>
    <n v="20"/>
    <n v="32025"/>
    <x v="0"/>
    <s v="3596-ZF"/>
    <s v="Chuck Pressure Main:    200 Lbs"/>
    <n v="86557"/>
    <x v="9"/>
    <s v="CPMT3252LF"/>
    <s v="UPPER"/>
    <n v="2"/>
  </r>
  <r>
    <x v="4"/>
    <n v="20"/>
    <n v="32025"/>
    <x v="0"/>
    <s v="3596-ZF"/>
    <s v="Chuck Pressure Main:    200 Lbs"/>
    <n v="86558"/>
    <x v="31"/>
    <s v="5 IN. LONG SIZE 3 INSERT"/>
    <s v="UPPER"/>
    <n v="11"/>
  </r>
  <r>
    <x v="4"/>
    <n v="20"/>
    <n v="32025"/>
    <x v="0"/>
    <s v="3596-ZF"/>
    <s v="Chuck Pressure Main:    200 Lbs"/>
    <n v="86559"/>
    <x v="47"/>
    <s v="NG3125R"/>
    <s v="UPPER"/>
    <n v="11"/>
  </r>
  <r>
    <x v="4"/>
    <n v="20"/>
    <n v="32025"/>
    <x v="1"/>
    <s v="3597-ZF"/>
    <s v="Chuck Pressure Main:       200 Lbs  NOTE : STATION #11 MUST BE EMPTY SO NOTHING   HITS THE CHUCK  NOTE : DEBURR 1ST THREAD BEFORE GUAGING FOR   ACCURACY"/>
    <n v="86560"/>
    <x v="19"/>
    <s v="80*TURN TOOL /DCLNR164DKC;6&quot; O.A.L."/>
    <s v="UPPER"/>
    <n v="1"/>
  </r>
  <r>
    <x v="4"/>
    <n v="20"/>
    <n v="32025"/>
    <x v="1"/>
    <s v="3597-ZF"/>
    <s v="Chuck Pressure Main:       200 Lbs  NOTE : STATION #11 MUST BE EMPTY SO NOTHING   HITS THE CHUCK  NOTE : DEBURR 1ST THREAD BEFORE GUAGING FOR   ACCURACY"/>
    <n v="86561"/>
    <x v="5"/>
    <s v="CNMS432"/>
    <s v="UPPER"/>
    <n v="1"/>
  </r>
  <r>
    <x v="4"/>
    <n v="20"/>
    <n v="32025"/>
    <x v="1"/>
    <s v="3597-ZF"/>
    <s v="Chuck Pressure Main:       200 Lbs  NOTE : STATION #11 MUST BE EMPTY SO NOTHING   HITS THE CHUCK  NOTE : DEBURR 1ST THREAD BEFORE GUAGING FOR   ACCURACY"/>
    <n v="86562"/>
    <x v="31"/>
    <s v="5 IN. LONG SIZE 3 INSERT"/>
    <s v="UPPER"/>
    <n v="2"/>
  </r>
  <r>
    <x v="4"/>
    <n v="20"/>
    <n v="32025"/>
    <x v="1"/>
    <s v="3597-ZF"/>
    <s v="Chuck Pressure Main:       200 Lbs  NOTE : STATION #11 MUST BE EMPTY SO NOTHING   HITS THE CHUCK  NOTE : DEBURR 1ST THREAD BEFORE GUAGING FOR   ACCURACY"/>
    <n v="86563"/>
    <x v="48"/>
    <s v="INSERT"/>
    <s v="UPPER"/>
    <n v="2"/>
  </r>
  <r>
    <x v="4"/>
    <n v="20"/>
    <n v="32025"/>
    <x v="1"/>
    <s v="3597-ZF"/>
    <s v="Chuck Pressure Main:       200 Lbs  NOTE : STATION #11 MUST BE EMPTY SO NOTHING   HITS THE CHUCK  NOTE : DEBURR 1ST THREAD BEFORE GUAGING FOR   ACCURACY"/>
    <n v="86564"/>
    <x v="31"/>
    <s v="5 IN. LONG SIZE 3 INSERT"/>
    <s v="UPPER"/>
    <n v="3"/>
  </r>
  <r>
    <x v="4"/>
    <n v="20"/>
    <n v="32025"/>
    <x v="1"/>
    <s v="3597-ZF"/>
    <s v="Chuck Pressure Main:       200 Lbs  NOTE : STATION #11 MUST BE EMPTY SO NOTHING   HITS THE CHUCK  NOTE : DEBURR 1ST THREAD BEFORE GUAGING FOR   ACCURACY"/>
    <n v="86565"/>
    <x v="49"/>
    <s v="INSERT 14 PITCH"/>
    <s v="UPPER"/>
    <n v="3"/>
  </r>
  <r>
    <x v="4"/>
    <n v="20"/>
    <n v="32025"/>
    <x v="1"/>
    <s v="3597-ZF"/>
    <s v="Chuck Pressure Main:       200 Lbs  NOTE : STATION #11 MUST BE EMPTY SO NOTHING   HITS THE CHUCK  NOTE : DEBURR 1ST THREAD BEFORE GUAGING FOR   ACCURACY"/>
    <n v="86566"/>
    <x v="34"/>
    <s v="BORE BAR 3/4 C12SCLPR3 STUBBY"/>
    <s v="UPPER"/>
    <n v="5"/>
  </r>
  <r>
    <x v="4"/>
    <n v="20"/>
    <n v="32025"/>
    <x v="1"/>
    <s v="3597-ZF"/>
    <s v="Chuck Pressure Main:       200 Lbs  NOTE : STATION #11 MUST BE EMPTY SO NOTHING   HITS THE CHUCK  NOTE : DEBURR 1ST THREAD BEFORE GUAGING FOR   ACCURACY"/>
    <n v="86567"/>
    <x v="9"/>
    <s v="CPMT3252LF"/>
    <s v="UPPER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52898-E794-4123-A144-4851345B47A5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N11" firstHeaderRow="1" firstDataRow="3" firstDataCol="1"/>
  <pivotFields count="11"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axis="axisCol" showAll="0" defaultSubtotal="0">
      <items count="2">
        <item x="0"/>
        <item x="1"/>
      </items>
    </pivotField>
    <pivotField showAll="0"/>
    <pivotField showAll="0"/>
    <pivotField showAll="0"/>
    <pivotField axis="axisCol" dataField="1" showAll="0">
      <items count="51">
        <item x="4"/>
        <item x="22"/>
        <item x="21"/>
        <item x="24"/>
        <item x="37"/>
        <item x="25"/>
        <item x="7"/>
        <item x="36"/>
        <item x="6"/>
        <item x="28"/>
        <item x="13"/>
        <item x="29"/>
        <item x="14"/>
        <item x="43"/>
        <item x="30"/>
        <item x="3"/>
        <item x="34"/>
        <item x="41"/>
        <item x="8"/>
        <item x="40"/>
        <item x="5"/>
        <item x="9"/>
        <item x="15"/>
        <item x="33"/>
        <item x="44"/>
        <item x="26"/>
        <item x="19"/>
        <item x="10"/>
        <item x="11"/>
        <item x="42"/>
        <item x="1"/>
        <item x="27"/>
        <item x="17"/>
        <item x="12"/>
        <item x="20"/>
        <item x="0"/>
        <item x="16"/>
        <item x="48"/>
        <item x="45"/>
        <item x="47"/>
        <item x="32"/>
        <item x="23"/>
        <item x="39"/>
        <item x="31"/>
        <item x="46"/>
        <item x="35"/>
        <item x="49"/>
        <item x="38"/>
        <item x="18"/>
        <item x="2"/>
        <item t="default"/>
      </items>
    </pivotField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"/>
    <field x="7"/>
  </colFields>
  <colItems count="6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7"/>
    </i>
    <i r="1">
      <x v="48"/>
    </i>
    <i r="1">
      <x v="49"/>
    </i>
    <i>
      <x v="1"/>
      <x v="7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9"/>
    </i>
    <i r="1">
      <x v="30"/>
    </i>
    <i r="1">
      <x v="36"/>
    </i>
    <i r="1">
      <x v="37"/>
    </i>
    <i r="1">
      <x v="38"/>
    </i>
    <i r="1">
      <x v="40"/>
    </i>
    <i r="1">
      <x v="43"/>
    </i>
    <i r="1">
      <x v="44"/>
    </i>
    <i r="1">
      <x v="46"/>
    </i>
    <i r="1">
      <x v="49"/>
    </i>
    <i t="grand">
      <x/>
    </i>
  </colItems>
  <dataFields count="1">
    <dataField name="Count of ToolNumber" fld="7" subtotal="count" baseField="0" baseItem="0"/>
  </dataFields>
  <formats count="42"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3" type="button" dataOnly="0" labelOnly="1" outline="0" axis="axisCol" fieldPosition="0"/>
    </format>
    <format dxfId="37">
      <pivotArea field="7" type="button" dataOnly="0" labelOnly="1" outline="0" axis="axisCol" fieldPosition="1"/>
    </format>
    <format dxfId="36">
      <pivotArea type="topRight" dataOnly="0" labelOnly="1" outline="0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fieldPosition="0">
        <references count="1">
          <reference field="3" count="0" defaultSubtotal="1"/>
        </references>
      </pivotArea>
    </format>
    <format dxfId="30">
      <pivotArea dataOnly="0" labelOnly="1" grandCol="1" outline="0" fieldPosition="0"/>
    </format>
    <format dxfId="29">
      <pivotArea dataOnly="0" labelOnly="1" fieldPosition="0">
        <references count="2">
          <reference field="3" count="1" selected="0">
            <x v="0"/>
          </reference>
          <reference field="7" count="38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5"/>
            <x v="16"/>
            <x v="17"/>
            <x v="18"/>
            <x v="19"/>
            <x v="20"/>
            <x v="21"/>
            <x v="25"/>
            <x v="26"/>
            <x v="27"/>
            <x v="28"/>
            <x v="30"/>
            <x v="31"/>
            <x v="32"/>
            <x v="33"/>
            <x v="34"/>
            <x v="35"/>
            <x v="39"/>
            <x v="40"/>
            <x v="41"/>
            <x v="42"/>
            <x v="43"/>
            <x v="45"/>
            <x v="47"/>
            <x v="48"/>
            <x v="49"/>
          </reference>
        </references>
      </pivotArea>
    </format>
    <format dxfId="28">
      <pivotArea dataOnly="0" labelOnly="1" fieldPosition="0">
        <references count="2">
          <reference field="3" count="1" selected="0">
            <x v="1"/>
          </reference>
          <reference field="7" count="26">
            <x v="7"/>
            <x v="10"/>
            <x v="11"/>
            <x v="12"/>
            <x v="13"/>
            <x v="14"/>
            <x v="16"/>
            <x v="17"/>
            <x v="18"/>
            <x v="19"/>
            <x v="20"/>
            <x v="21"/>
            <x v="22"/>
            <x v="23"/>
            <x v="24"/>
            <x v="26"/>
            <x v="29"/>
            <x v="30"/>
            <x v="36"/>
            <x v="37"/>
            <x v="38"/>
            <x v="40"/>
            <x v="43"/>
            <x v="44"/>
            <x v="46"/>
            <x v="49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3" type="button" dataOnly="0" labelOnly="1" outline="0" axis="axisCol" fieldPosition="0"/>
    </format>
    <format dxfId="23">
      <pivotArea field="7" type="button" dataOnly="0" labelOnly="1" outline="0" axis="axisCol" fieldPosition="1"/>
    </format>
    <format dxfId="22">
      <pivotArea type="topRight" dataOnly="0" labelOnly="1" outline="0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fieldPosition="0">
        <references count="1">
          <reference field="3" count="0" defaultSubtotal="1"/>
        </references>
      </pivotArea>
    </format>
    <format dxfId="16">
      <pivotArea dataOnly="0" labelOnly="1" grandCol="1" outline="0" fieldPosition="0"/>
    </format>
    <format dxfId="15">
      <pivotArea dataOnly="0" labelOnly="1" fieldPosition="0">
        <references count="2">
          <reference field="3" count="1" selected="0">
            <x v="0"/>
          </reference>
          <reference field="7" count="38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5"/>
            <x v="16"/>
            <x v="17"/>
            <x v="18"/>
            <x v="19"/>
            <x v="20"/>
            <x v="21"/>
            <x v="25"/>
            <x v="26"/>
            <x v="27"/>
            <x v="28"/>
            <x v="30"/>
            <x v="31"/>
            <x v="32"/>
            <x v="33"/>
            <x v="34"/>
            <x v="35"/>
            <x v="39"/>
            <x v="40"/>
            <x v="41"/>
            <x v="42"/>
            <x v="43"/>
            <x v="45"/>
            <x v="47"/>
            <x v="48"/>
            <x v="49"/>
          </reference>
        </references>
      </pivotArea>
    </format>
    <format dxfId="14">
      <pivotArea dataOnly="0" labelOnly="1" fieldPosition="0">
        <references count="2">
          <reference field="3" count="1" selected="0">
            <x v="1"/>
          </reference>
          <reference field="7" count="26">
            <x v="7"/>
            <x v="10"/>
            <x v="11"/>
            <x v="12"/>
            <x v="13"/>
            <x v="14"/>
            <x v="16"/>
            <x v="17"/>
            <x v="18"/>
            <x v="19"/>
            <x v="20"/>
            <x v="21"/>
            <x v="22"/>
            <x v="23"/>
            <x v="24"/>
            <x v="26"/>
            <x v="29"/>
            <x v="30"/>
            <x v="36"/>
            <x v="37"/>
            <x v="38"/>
            <x v="40"/>
            <x v="43"/>
            <x v="44"/>
            <x v="46"/>
            <x v="49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3" type="button" dataOnly="0" labelOnly="1" outline="0" axis="axisCol" fieldPosition="0"/>
    </format>
    <format dxfId="9">
      <pivotArea field="7" type="button" dataOnly="0" labelOnly="1" outline="0" axis="axisCol" fieldPosition="1"/>
    </format>
    <format dxfId="8">
      <pivotArea type="topRight" dataOnly="0" labelOnly="1" outline="0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fieldPosition="0">
        <references count="1">
          <reference field="3" count="0" defaultSubtotal="1"/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2">
          <reference field="3" count="1" selected="0">
            <x v="0"/>
          </reference>
          <reference field="7" count="38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5"/>
            <x v="16"/>
            <x v="17"/>
            <x v="18"/>
            <x v="19"/>
            <x v="20"/>
            <x v="21"/>
            <x v="25"/>
            <x v="26"/>
            <x v="27"/>
            <x v="28"/>
            <x v="30"/>
            <x v="31"/>
            <x v="32"/>
            <x v="33"/>
            <x v="34"/>
            <x v="35"/>
            <x v="39"/>
            <x v="40"/>
            <x v="41"/>
            <x v="42"/>
            <x v="43"/>
            <x v="45"/>
            <x v="47"/>
            <x v="48"/>
            <x v="49"/>
          </reference>
        </references>
      </pivotArea>
    </format>
    <format dxfId="0">
      <pivotArea dataOnly="0" labelOnly="1" fieldPosition="0">
        <references count="2">
          <reference field="3" count="1" selected="0">
            <x v="1"/>
          </reference>
          <reference field="7" count="26">
            <x v="7"/>
            <x v="10"/>
            <x v="11"/>
            <x v="12"/>
            <x v="13"/>
            <x v="14"/>
            <x v="16"/>
            <x v="17"/>
            <x v="18"/>
            <x v="19"/>
            <x v="20"/>
            <x v="21"/>
            <x v="22"/>
            <x v="23"/>
            <x v="24"/>
            <x v="26"/>
            <x v="29"/>
            <x v="30"/>
            <x v="36"/>
            <x v="37"/>
            <x v="38"/>
            <x v="40"/>
            <x v="43"/>
            <x v="44"/>
            <x v="46"/>
            <x v="4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05B3-4A4E-4B06-B6ED-FE6C712960FA}">
  <dimension ref="A3:BN11"/>
  <sheetViews>
    <sheetView topLeftCell="AV1" workbookViewId="0">
      <selection activeCell="B5" sqref="B5:BM5"/>
    </sheetView>
  </sheetViews>
  <sheetFormatPr defaultRowHeight="14.6" x14ac:dyDescent="0.4"/>
  <cols>
    <col min="1" max="1" width="19.4609375" bestFit="1" customWidth="1"/>
    <col min="2" max="2" width="18.15234375" bestFit="1" customWidth="1"/>
    <col min="3" max="3" width="7.921875" bestFit="1" customWidth="1"/>
    <col min="4" max="4" width="11.3828125" bestFit="1" customWidth="1"/>
    <col min="5" max="5" width="13.3828125" bestFit="1" customWidth="1"/>
    <col min="6" max="6" width="6.84375" bestFit="1" customWidth="1"/>
    <col min="7" max="7" width="13.921875" bestFit="1" customWidth="1"/>
    <col min="8" max="8" width="15.15234375" bestFit="1" customWidth="1"/>
    <col min="9" max="9" width="6.84375" bestFit="1" customWidth="1"/>
    <col min="10" max="10" width="17.69140625" bestFit="1" customWidth="1"/>
    <col min="11" max="11" width="19.15234375" bestFit="1" customWidth="1"/>
    <col min="12" max="12" width="7.15234375" bestFit="1" customWidth="1"/>
    <col min="13" max="13" width="6.15234375" bestFit="1" customWidth="1"/>
    <col min="14" max="14" width="7.53515625" bestFit="1" customWidth="1"/>
    <col min="15" max="15" width="12.4609375" bestFit="1" customWidth="1"/>
    <col min="16" max="16" width="11.3828125" bestFit="1" customWidth="1"/>
    <col min="17" max="17" width="12.4609375" bestFit="1" customWidth="1"/>
    <col min="18" max="18" width="11.69140625" bestFit="1" customWidth="1"/>
    <col min="19" max="19" width="9" bestFit="1" customWidth="1"/>
    <col min="20" max="20" width="11.4609375" bestFit="1" customWidth="1"/>
    <col min="21" max="21" width="16.53515625" bestFit="1" customWidth="1"/>
    <col min="22" max="22" width="13.84375" bestFit="1" customWidth="1"/>
    <col min="23" max="23" width="9.3828125" bestFit="1" customWidth="1"/>
    <col min="24" max="24" width="12.3046875" bestFit="1" customWidth="1"/>
    <col min="25" max="25" width="14.23046875" bestFit="1" customWidth="1"/>
    <col min="26" max="26" width="14.3828125" bestFit="1" customWidth="1"/>
    <col min="27" max="27" width="15.3046875" bestFit="1" customWidth="1"/>
    <col min="28" max="28" width="20.3046875" bestFit="1" customWidth="1"/>
    <col min="29" max="29" width="6.3046875" bestFit="1" customWidth="1"/>
    <col min="30" max="30" width="6.15234375" bestFit="1" customWidth="1"/>
    <col min="31" max="31" width="8.61328125" bestFit="1" customWidth="1"/>
    <col min="32" max="32" width="9.765625" bestFit="1" customWidth="1"/>
    <col min="33" max="33" width="9.53515625" bestFit="1" customWidth="1"/>
    <col min="34" max="34" width="8.4609375" bestFit="1" customWidth="1"/>
    <col min="35" max="35" width="8.69140625" bestFit="1" customWidth="1"/>
    <col min="36" max="36" width="6.3828125" bestFit="1" customWidth="1"/>
    <col min="37" max="37" width="15.61328125" bestFit="1" customWidth="1"/>
    <col min="38" max="38" width="14.07421875" bestFit="1" customWidth="1"/>
    <col min="39" max="39" width="8.765625" bestFit="1" customWidth="1"/>
    <col min="40" max="40" width="6.84375" bestFit="1" customWidth="1"/>
    <col min="41" max="42" width="7.15234375" bestFit="1" customWidth="1"/>
    <col min="43" max="45" width="6.15234375" bestFit="1" customWidth="1"/>
    <col min="46" max="46" width="12.4609375" bestFit="1" customWidth="1"/>
    <col min="47" max="47" width="11.3828125" bestFit="1" customWidth="1"/>
    <col min="48" max="48" width="12.4609375" bestFit="1" customWidth="1"/>
    <col min="49" max="49" width="11.69140625" bestFit="1" customWidth="1"/>
    <col min="50" max="50" width="9" bestFit="1" customWidth="1"/>
    <col min="51" max="51" width="11.4609375" bestFit="1" customWidth="1"/>
    <col min="52" max="52" width="9.23046875" bestFit="1" customWidth="1"/>
    <col min="53" max="53" width="10.23046875" bestFit="1" customWidth="1"/>
    <col min="54" max="54" width="14.3828125" bestFit="1" customWidth="1"/>
    <col min="55" max="55" width="13.84375" bestFit="1" customWidth="1"/>
    <col min="56" max="56" width="8.61328125" bestFit="1" customWidth="1"/>
    <col min="57" max="57" width="14.23046875" bestFit="1" customWidth="1"/>
    <col min="58" max="58" width="8.15234375" bestFit="1" customWidth="1"/>
    <col min="59" max="59" width="15.921875" bestFit="1" customWidth="1"/>
    <col min="60" max="61" width="9.765625" bestFit="1" customWidth="1"/>
    <col min="62" max="62" width="8.69140625" bestFit="1" customWidth="1"/>
    <col min="63" max="63" width="5.3046875" bestFit="1" customWidth="1"/>
    <col min="64" max="64" width="18.4609375" bestFit="1" customWidth="1"/>
    <col min="65" max="65" width="8.765625" bestFit="1" customWidth="1"/>
    <col min="66" max="66" width="10.61328125" bestFit="1" customWidth="1"/>
    <col min="67" max="67" width="6.3828125" bestFit="1" customWidth="1"/>
    <col min="68" max="68" width="10.61328125" bestFit="1" customWidth="1"/>
  </cols>
  <sheetData>
    <row r="3" spans="1:66" x14ac:dyDescent="0.4">
      <c r="A3" s="10" t="s">
        <v>132</v>
      </c>
      <c r="B3" s="10" t="s">
        <v>131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</row>
    <row r="4" spans="1:66" x14ac:dyDescent="0.4">
      <c r="A4" s="11"/>
      <c r="B4" s="11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>
        <v>2</v>
      </c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 t="s">
        <v>130</v>
      </c>
    </row>
    <row r="5" spans="1:66" x14ac:dyDescent="0.4">
      <c r="A5" s="10" t="s">
        <v>129</v>
      </c>
      <c r="B5" s="11" t="s">
        <v>12</v>
      </c>
      <c r="C5" s="11" t="s">
        <v>53</v>
      </c>
      <c r="D5" s="11" t="s">
        <v>51</v>
      </c>
      <c r="E5" s="11" t="s">
        <v>57</v>
      </c>
      <c r="F5" s="11" t="s">
        <v>91</v>
      </c>
      <c r="G5" s="11" t="s">
        <v>59</v>
      </c>
      <c r="H5" s="11" t="s">
        <v>18</v>
      </c>
      <c r="I5" s="11" t="s">
        <v>89</v>
      </c>
      <c r="J5" s="11" t="s">
        <v>16</v>
      </c>
      <c r="K5" s="11" t="s">
        <v>65</v>
      </c>
      <c r="L5" s="11" t="s">
        <v>32</v>
      </c>
      <c r="M5" s="11" t="s">
        <v>34</v>
      </c>
      <c r="N5" s="11" t="s">
        <v>10</v>
      </c>
      <c r="O5" s="11" t="s">
        <v>82</v>
      </c>
      <c r="P5" s="11" t="s">
        <v>97</v>
      </c>
      <c r="Q5" s="11" t="s">
        <v>20</v>
      </c>
      <c r="R5" s="11" t="s">
        <v>96</v>
      </c>
      <c r="S5" s="11" t="s">
        <v>15</v>
      </c>
      <c r="T5" s="11" t="s">
        <v>22</v>
      </c>
      <c r="U5" s="11" t="s">
        <v>61</v>
      </c>
      <c r="V5" s="11" t="s">
        <v>48</v>
      </c>
      <c r="W5" s="11" t="s">
        <v>24</v>
      </c>
      <c r="X5" s="11" t="s">
        <v>26</v>
      </c>
      <c r="Y5" s="11" t="s">
        <v>6</v>
      </c>
      <c r="Z5" s="11" t="s">
        <v>63</v>
      </c>
      <c r="AA5" s="11" t="s">
        <v>44</v>
      </c>
      <c r="AB5" s="11" t="s">
        <v>28</v>
      </c>
      <c r="AC5" s="11" t="s">
        <v>50</v>
      </c>
      <c r="AD5" s="11" t="s">
        <v>3</v>
      </c>
      <c r="AE5" s="11" t="s">
        <v>111</v>
      </c>
      <c r="AF5" s="11" t="s">
        <v>75</v>
      </c>
      <c r="AG5" s="11" t="s">
        <v>55</v>
      </c>
      <c r="AH5" s="11" t="s">
        <v>95</v>
      </c>
      <c r="AI5" s="11" t="s">
        <v>73</v>
      </c>
      <c r="AJ5" s="11" t="s">
        <v>84</v>
      </c>
      <c r="AK5" s="11" t="s">
        <v>93</v>
      </c>
      <c r="AL5" s="11" t="s">
        <v>46</v>
      </c>
      <c r="AM5" s="11" t="s">
        <v>8</v>
      </c>
      <c r="AN5" s="11" t="s">
        <v>89</v>
      </c>
      <c r="AO5" s="11" t="s">
        <v>32</v>
      </c>
      <c r="AP5" s="11" t="s">
        <v>69</v>
      </c>
      <c r="AQ5" s="11" t="s">
        <v>34</v>
      </c>
      <c r="AR5" s="11" t="s">
        <v>102</v>
      </c>
      <c r="AS5" s="11" t="s">
        <v>71</v>
      </c>
      <c r="AT5" s="11" t="s">
        <v>82</v>
      </c>
      <c r="AU5" s="11" t="s">
        <v>97</v>
      </c>
      <c r="AV5" s="11" t="s">
        <v>20</v>
      </c>
      <c r="AW5" s="11" t="s">
        <v>96</v>
      </c>
      <c r="AX5" s="11" t="s">
        <v>15</v>
      </c>
      <c r="AY5" s="11" t="s">
        <v>22</v>
      </c>
      <c r="AZ5" s="11" t="s">
        <v>37</v>
      </c>
      <c r="BA5" s="11" t="s">
        <v>77</v>
      </c>
      <c r="BB5" s="11" t="s">
        <v>104</v>
      </c>
      <c r="BC5" s="11" t="s">
        <v>48</v>
      </c>
      <c r="BD5" s="11" t="s">
        <v>100</v>
      </c>
      <c r="BE5" s="11" t="s">
        <v>6</v>
      </c>
      <c r="BF5" s="11" t="s">
        <v>39</v>
      </c>
      <c r="BG5" s="11" t="s">
        <v>114</v>
      </c>
      <c r="BH5" s="11" t="s">
        <v>106</v>
      </c>
      <c r="BI5" s="11" t="s">
        <v>75</v>
      </c>
      <c r="BJ5" s="11" t="s">
        <v>73</v>
      </c>
      <c r="BK5" s="11" t="s">
        <v>107</v>
      </c>
      <c r="BL5" s="11" t="s">
        <v>116</v>
      </c>
      <c r="BM5" s="11" t="s">
        <v>8</v>
      </c>
      <c r="BN5" s="11"/>
    </row>
    <row r="6" spans="1:66" x14ac:dyDescent="0.4">
      <c r="A6" s="11" t="s">
        <v>108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1</v>
      </c>
      <c r="P6" s="12"/>
      <c r="Q6" s="12"/>
      <c r="R6" s="12"/>
      <c r="S6" s="12">
        <v>1</v>
      </c>
      <c r="T6" s="12">
        <v>1</v>
      </c>
      <c r="U6" s="12"/>
      <c r="V6" s="12">
        <v>1</v>
      </c>
      <c r="W6" s="12"/>
      <c r="X6" s="12"/>
      <c r="Y6" s="12"/>
      <c r="Z6" s="12"/>
      <c r="AA6" s="12"/>
      <c r="AB6" s="12"/>
      <c r="AC6" s="12"/>
      <c r="AD6" s="12"/>
      <c r="AE6" s="12">
        <v>1</v>
      </c>
      <c r="AF6" s="12"/>
      <c r="AG6" s="12"/>
      <c r="AH6" s="12"/>
      <c r="AI6" s="12">
        <v>1</v>
      </c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>
        <v>1</v>
      </c>
      <c r="AU6" s="12"/>
      <c r="AV6" s="12"/>
      <c r="AW6" s="12"/>
      <c r="AX6" s="12">
        <v>1</v>
      </c>
      <c r="AY6" s="12">
        <v>1</v>
      </c>
      <c r="AZ6" s="12"/>
      <c r="BA6" s="12"/>
      <c r="BB6" s="12"/>
      <c r="BC6" s="12">
        <v>1</v>
      </c>
      <c r="BD6" s="12"/>
      <c r="BE6" s="12"/>
      <c r="BF6" s="12"/>
      <c r="BG6" s="12">
        <v>1</v>
      </c>
      <c r="BH6" s="12"/>
      <c r="BI6" s="12"/>
      <c r="BJ6" s="12">
        <v>2</v>
      </c>
      <c r="BK6" s="12"/>
      <c r="BL6" s="12">
        <v>1</v>
      </c>
      <c r="BM6" s="12"/>
      <c r="BN6" s="12">
        <v>14</v>
      </c>
    </row>
    <row r="7" spans="1:66" x14ac:dyDescent="0.4">
      <c r="A7" s="11" t="s">
        <v>86</v>
      </c>
      <c r="B7" s="12"/>
      <c r="C7" s="12"/>
      <c r="D7" s="12"/>
      <c r="E7" s="12"/>
      <c r="F7" s="12">
        <v>1</v>
      </c>
      <c r="G7" s="12"/>
      <c r="H7" s="12"/>
      <c r="I7" s="12">
        <v>1</v>
      </c>
      <c r="J7" s="12"/>
      <c r="K7" s="12"/>
      <c r="L7" s="12"/>
      <c r="M7" s="12"/>
      <c r="N7" s="12"/>
      <c r="O7" s="12"/>
      <c r="P7" s="12">
        <v>1</v>
      </c>
      <c r="Q7" s="12"/>
      <c r="R7" s="12">
        <v>1</v>
      </c>
      <c r="S7" s="12"/>
      <c r="T7" s="12">
        <v>1</v>
      </c>
      <c r="U7" s="12"/>
      <c r="V7" s="12">
        <v>1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>
        <v>1</v>
      </c>
      <c r="AI7" s="12">
        <v>1</v>
      </c>
      <c r="AJ7" s="12"/>
      <c r="AK7" s="12">
        <v>1</v>
      </c>
      <c r="AL7" s="12"/>
      <c r="AM7" s="12"/>
      <c r="AN7" s="12">
        <v>1</v>
      </c>
      <c r="AO7" s="12"/>
      <c r="AP7" s="12">
        <v>1</v>
      </c>
      <c r="AQ7" s="12"/>
      <c r="AR7" s="12">
        <v>1</v>
      </c>
      <c r="AS7" s="12"/>
      <c r="AT7" s="12"/>
      <c r="AU7" s="12">
        <v>1</v>
      </c>
      <c r="AV7" s="12"/>
      <c r="AW7" s="12">
        <v>1</v>
      </c>
      <c r="AX7" s="12"/>
      <c r="AY7" s="12">
        <v>1</v>
      </c>
      <c r="AZ7" s="12"/>
      <c r="BA7" s="12"/>
      <c r="BB7" s="12">
        <v>1</v>
      </c>
      <c r="BC7" s="12">
        <v>1</v>
      </c>
      <c r="BD7" s="12">
        <v>1</v>
      </c>
      <c r="BE7" s="12"/>
      <c r="BF7" s="12"/>
      <c r="BG7" s="12"/>
      <c r="BH7" s="12">
        <v>1</v>
      </c>
      <c r="BI7" s="12"/>
      <c r="BJ7" s="12">
        <v>2</v>
      </c>
      <c r="BK7" s="12">
        <v>1</v>
      </c>
      <c r="BL7" s="12"/>
      <c r="BM7" s="12"/>
      <c r="BN7" s="12">
        <v>22</v>
      </c>
    </row>
    <row r="8" spans="1:66" x14ac:dyDescent="0.4">
      <c r="A8" s="11" t="s">
        <v>79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>
        <v>1</v>
      </c>
      <c r="M8" s="12">
        <v>1</v>
      </c>
      <c r="N8" s="12"/>
      <c r="O8" s="12">
        <v>1</v>
      </c>
      <c r="P8" s="12"/>
      <c r="Q8" s="12"/>
      <c r="R8" s="12"/>
      <c r="S8" s="12">
        <v>1</v>
      </c>
      <c r="T8" s="12">
        <v>1</v>
      </c>
      <c r="U8" s="12"/>
      <c r="V8" s="12">
        <v>1</v>
      </c>
      <c r="W8" s="12">
        <v>1</v>
      </c>
      <c r="X8" s="12">
        <v>1</v>
      </c>
      <c r="Y8" s="12"/>
      <c r="Z8" s="12"/>
      <c r="AA8" s="12"/>
      <c r="AB8" s="12">
        <v>1</v>
      </c>
      <c r="AC8" s="12"/>
      <c r="AD8" s="12"/>
      <c r="AE8" s="12"/>
      <c r="AF8" s="12">
        <v>1</v>
      </c>
      <c r="AG8" s="12"/>
      <c r="AH8" s="12"/>
      <c r="AI8" s="12">
        <v>2</v>
      </c>
      <c r="AJ8" s="12">
        <v>1</v>
      </c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>
        <v>13</v>
      </c>
    </row>
    <row r="9" spans="1:66" x14ac:dyDescent="0.4">
      <c r="A9" s="11" t="s">
        <v>41</v>
      </c>
      <c r="B9" s="12"/>
      <c r="C9" s="12">
        <v>1</v>
      </c>
      <c r="D9" s="12">
        <v>1</v>
      </c>
      <c r="E9" s="12">
        <v>1</v>
      </c>
      <c r="F9" s="12"/>
      <c r="G9" s="12">
        <v>1</v>
      </c>
      <c r="H9" s="12"/>
      <c r="I9" s="12"/>
      <c r="J9" s="12"/>
      <c r="K9" s="12">
        <v>1</v>
      </c>
      <c r="L9" s="12"/>
      <c r="M9" s="12"/>
      <c r="N9" s="12"/>
      <c r="O9" s="12"/>
      <c r="P9" s="12"/>
      <c r="Q9" s="12">
        <v>1</v>
      </c>
      <c r="R9" s="12"/>
      <c r="S9" s="12">
        <v>1</v>
      </c>
      <c r="T9" s="12">
        <v>1</v>
      </c>
      <c r="U9" s="12">
        <v>1</v>
      </c>
      <c r="V9" s="12">
        <v>1</v>
      </c>
      <c r="W9" s="12"/>
      <c r="X9" s="12"/>
      <c r="Y9" s="12"/>
      <c r="Z9" s="12">
        <v>1</v>
      </c>
      <c r="AA9" s="12">
        <v>1</v>
      </c>
      <c r="AB9" s="12"/>
      <c r="AC9" s="12">
        <v>4</v>
      </c>
      <c r="AD9" s="12"/>
      <c r="AE9" s="12"/>
      <c r="AF9" s="12"/>
      <c r="AG9" s="12">
        <v>1</v>
      </c>
      <c r="AH9" s="12"/>
      <c r="AI9" s="12"/>
      <c r="AJ9" s="12"/>
      <c r="AK9" s="12"/>
      <c r="AL9" s="12">
        <v>1</v>
      </c>
      <c r="AM9" s="12"/>
      <c r="AN9" s="12"/>
      <c r="AO9" s="12"/>
      <c r="AP9" s="12">
        <v>1</v>
      </c>
      <c r="AQ9" s="12"/>
      <c r="AR9" s="12"/>
      <c r="AS9" s="12">
        <v>1</v>
      </c>
      <c r="AT9" s="12"/>
      <c r="AU9" s="12"/>
      <c r="AV9" s="12">
        <v>1</v>
      </c>
      <c r="AW9" s="12"/>
      <c r="AX9" s="12">
        <v>1</v>
      </c>
      <c r="AY9" s="12">
        <v>1</v>
      </c>
      <c r="AZ9" s="12"/>
      <c r="BA9" s="12">
        <v>1</v>
      </c>
      <c r="BB9" s="12"/>
      <c r="BC9" s="12">
        <v>1</v>
      </c>
      <c r="BD9" s="12"/>
      <c r="BE9" s="12"/>
      <c r="BF9" s="12"/>
      <c r="BG9" s="12"/>
      <c r="BH9" s="12"/>
      <c r="BI9" s="12">
        <v>1</v>
      </c>
      <c r="BJ9" s="12">
        <v>1</v>
      </c>
      <c r="BK9" s="12"/>
      <c r="BL9" s="12"/>
      <c r="BM9" s="12"/>
      <c r="BN9" s="12">
        <v>27</v>
      </c>
    </row>
    <row r="10" spans="1:66" x14ac:dyDescent="0.4">
      <c r="A10" s="11" t="s">
        <v>0</v>
      </c>
      <c r="B10" s="12">
        <v>1</v>
      </c>
      <c r="C10" s="12"/>
      <c r="D10" s="12"/>
      <c r="E10" s="12"/>
      <c r="F10" s="12"/>
      <c r="G10" s="12"/>
      <c r="H10" s="12">
        <v>1</v>
      </c>
      <c r="I10" s="12"/>
      <c r="J10" s="12">
        <v>1</v>
      </c>
      <c r="K10" s="12"/>
      <c r="L10" s="12"/>
      <c r="M10" s="12"/>
      <c r="N10" s="12">
        <v>1</v>
      </c>
      <c r="O10" s="12"/>
      <c r="P10" s="12"/>
      <c r="Q10" s="12">
        <v>1</v>
      </c>
      <c r="R10" s="12"/>
      <c r="S10" s="12">
        <v>1</v>
      </c>
      <c r="T10" s="12">
        <v>1</v>
      </c>
      <c r="U10" s="12"/>
      <c r="V10" s="12"/>
      <c r="W10" s="12">
        <v>1</v>
      </c>
      <c r="X10" s="12">
        <v>1</v>
      </c>
      <c r="Y10" s="12">
        <v>1</v>
      </c>
      <c r="Z10" s="12"/>
      <c r="AA10" s="12"/>
      <c r="AB10" s="12">
        <v>1</v>
      </c>
      <c r="AC10" s="12"/>
      <c r="AD10" s="12">
        <v>1</v>
      </c>
      <c r="AE10" s="12"/>
      <c r="AF10" s="12"/>
      <c r="AG10" s="12"/>
      <c r="AH10" s="12"/>
      <c r="AI10" s="12"/>
      <c r="AJ10" s="12"/>
      <c r="AK10" s="12"/>
      <c r="AL10" s="12"/>
      <c r="AM10" s="12">
        <v>1</v>
      </c>
      <c r="AN10" s="12"/>
      <c r="AO10" s="12">
        <v>1</v>
      </c>
      <c r="AP10" s="12"/>
      <c r="AQ10" s="12">
        <v>1</v>
      </c>
      <c r="AR10" s="12"/>
      <c r="AS10" s="12"/>
      <c r="AT10" s="12"/>
      <c r="AU10" s="12"/>
      <c r="AV10" s="12">
        <v>1</v>
      </c>
      <c r="AW10" s="12"/>
      <c r="AX10" s="12"/>
      <c r="AY10" s="12">
        <v>1</v>
      </c>
      <c r="AZ10" s="12">
        <v>1</v>
      </c>
      <c r="BA10" s="12"/>
      <c r="BB10" s="12"/>
      <c r="BC10" s="12"/>
      <c r="BD10" s="12"/>
      <c r="BE10" s="12">
        <v>1</v>
      </c>
      <c r="BF10" s="12">
        <v>1</v>
      </c>
      <c r="BG10" s="12"/>
      <c r="BH10" s="12"/>
      <c r="BI10" s="12"/>
      <c r="BJ10" s="12"/>
      <c r="BK10" s="12"/>
      <c r="BL10" s="12"/>
      <c r="BM10" s="12">
        <v>1</v>
      </c>
      <c r="BN10" s="12">
        <v>21</v>
      </c>
    </row>
    <row r="11" spans="1:66" x14ac:dyDescent="0.4">
      <c r="A11" s="11" t="s">
        <v>130</v>
      </c>
      <c r="B11" s="12">
        <v>1</v>
      </c>
      <c r="C11" s="12">
        <v>1</v>
      </c>
      <c r="D11" s="12">
        <v>1</v>
      </c>
      <c r="E11" s="12">
        <v>1</v>
      </c>
      <c r="F11" s="12">
        <v>1</v>
      </c>
      <c r="G11" s="12">
        <v>1</v>
      </c>
      <c r="H11" s="12">
        <v>1</v>
      </c>
      <c r="I11" s="12">
        <v>1</v>
      </c>
      <c r="J11" s="12">
        <v>1</v>
      </c>
      <c r="K11" s="12">
        <v>1</v>
      </c>
      <c r="L11" s="12">
        <v>1</v>
      </c>
      <c r="M11" s="12">
        <v>1</v>
      </c>
      <c r="N11" s="12">
        <v>1</v>
      </c>
      <c r="O11" s="12">
        <v>2</v>
      </c>
      <c r="P11" s="12">
        <v>1</v>
      </c>
      <c r="Q11" s="12">
        <v>2</v>
      </c>
      <c r="R11" s="12">
        <v>1</v>
      </c>
      <c r="S11" s="12">
        <v>4</v>
      </c>
      <c r="T11" s="12">
        <v>5</v>
      </c>
      <c r="U11" s="12">
        <v>1</v>
      </c>
      <c r="V11" s="12">
        <v>4</v>
      </c>
      <c r="W11" s="12">
        <v>2</v>
      </c>
      <c r="X11" s="12">
        <v>2</v>
      </c>
      <c r="Y11" s="12">
        <v>1</v>
      </c>
      <c r="Z11" s="12">
        <v>1</v>
      </c>
      <c r="AA11" s="12">
        <v>1</v>
      </c>
      <c r="AB11" s="12">
        <v>2</v>
      </c>
      <c r="AC11" s="12">
        <v>4</v>
      </c>
      <c r="AD11" s="12">
        <v>1</v>
      </c>
      <c r="AE11" s="12">
        <v>1</v>
      </c>
      <c r="AF11" s="12">
        <v>1</v>
      </c>
      <c r="AG11" s="12">
        <v>1</v>
      </c>
      <c r="AH11" s="12">
        <v>1</v>
      </c>
      <c r="AI11" s="12">
        <v>4</v>
      </c>
      <c r="AJ11" s="12">
        <v>1</v>
      </c>
      <c r="AK11" s="12">
        <v>1</v>
      </c>
      <c r="AL11" s="12">
        <v>1</v>
      </c>
      <c r="AM11" s="12">
        <v>1</v>
      </c>
      <c r="AN11" s="12">
        <v>1</v>
      </c>
      <c r="AO11" s="12">
        <v>1</v>
      </c>
      <c r="AP11" s="12">
        <v>2</v>
      </c>
      <c r="AQ11" s="12">
        <v>1</v>
      </c>
      <c r="AR11" s="12">
        <v>1</v>
      </c>
      <c r="AS11" s="12">
        <v>1</v>
      </c>
      <c r="AT11" s="12">
        <v>1</v>
      </c>
      <c r="AU11" s="12">
        <v>1</v>
      </c>
      <c r="AV11" s="12">
        <v>2</v>
      </c>
      <c r="AW11" s="12">
        <v>1</v>
      </c>
      <c r="AX11" s="12">
        <v>2</v>
      </c>
      <c r="AY11" s="12">
        <v>4</v>
      </c>
      <c r="AZ11" s="12">
        <v>1</v>
      </c>
      <c r="BA11" s="12">
        <v>1</v>
      </c>
      <c r="BB11" s="12">
        <v>1</v>
      </c>
      <c r="BC11" s="12">
        <v>3</v>
      </c>
      <c r="BD11" s="12">
        <v>1</v>
      </c>
      <c r="BE11" s="12">
        <v>1</v>
      </c>
      <c r="BF11" s="12">
        <v>1</v>
      </c>
      <c r="BG11" s="12">
        <v>1</v>
      </c>
      <c r="BH11" s="12">
        <v>1</v>
      </c>
      <c r="BI11" s="12">
        <v>1</v>
      </c>
      <c r="BJ11" s="12">
        <v>5</v>
      </c>
      <c r="BK11" s="12">
        <v>1</v>
      </c>
      <c r="BL11" s="12">
        <v>1</v>
      </c>
      <c r="BM11" s="12">
        <v>1</v>
      </c>
      <c r="BN11" s="12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7EA4-6B4E-46BD-ABD3-DDFF987D60F2}">
  <dimension ref="A1:BM6"/>
  <sheetViews>
    <sheetView workbookViewId="0">
      <selection activeCell="L18" sqref="L18"/>
    </sheetView>
  </sheetViews>
  <sheetFormatPr defaultRowHeight="14.6" x14ac:dyDescent="0.4"/>
  <cols>
    <col min="1" max="1" width="12.84375" customWidth="1"/>
  </cols>
  <sheetData>
    <row r="1" spans="1:65" x14ac:dyDescent="0.4">
      <c r="A1" s="13" t="s">
        <v>129</v>
      </c>
      <c r="B1" s="13" t="s">
        <v>12</v>
      </c>
      <c r="C1" s="13" t="s">
        <v>53</v>
      </c>
      <c r="D1" s="13" t="s">
        <v>51</v>
      </c>
      <c r="E1" s="13" t="s">
        <v>57</v>
      </c>
      <c r="F1" s="13" t="s">
        <v>91</v>
      </c>
      <c r="G1" s="13" t="s">
        <v>59</v>
      </c>
      <c r="H1" s="13" t="s">
        <v>18</v>
      </c>
      <c r="I1" s="13" t="s">
        <v>89</v>
      </c>
      <c r="J1" s="13" t="s">
        <v>16</v>
      </c>
      <c r="K1" s="13" t="s">
        <v>65</v>
      </c>
      <c r="L1" s="13" t="s">
        <v>32</v>
      </c>
      <c r="M1" s="13" t="s">
        <v>34</v>
      </c>
      <c r="N1" s="13" t="s">
        <v>10</v>
      </c>
      <c r="O1" s="13" t="s">
        <v>82</v>
      </c>
      <c r="P1" s="13" t="s">
        <v>97</v>
      </c>
      <c r="Q1" s="13" t="s">
        <v>20</v>
      </c>
      <c r="R1" s="13" t="s">
        <v>96</v>
      </c>
      <c r="S1" s="13" t="s">
        <v>15</v>
      </c>
      <c r="T1" s="13" t="s">
        <v>22</v>
      </c>
      <c r="U1" s="13" t="s">
        <v>61</v>
      </c>
      <c r="V1" s="13" t="s">
        <v>48</v>
      </c>
      <c r="W1" s="13" t="s">
        <v>24</v>
      </c>
      <c r="X1" s="13" t="s">
        <v>26</v>
      </c>
      <c r="Y1" s="13" t="s">
        <v>6</v>
      </c>
      <c r="Z1" s="13" t="s">
        <v>63</v>
      </c>
      <c r="AA1" s="13" t="s">
        <v>44</v>
      </c>
      <c r="AB1" s="13" t="s">
        <v>28</v>
      </c>
      <c r="AC1" s="13" t="s">
        <v>50</v>
      </c>
      <c r="AD1" s="13" t="s">
        <v>3</v>
      </c>
      <c r="AE1" s="13" t="s">
        <v>111</v>
      </c>
      <c r="AF1" s="13" t="s">
        <v>75</v>
      </c>
      <c r="AG1" s="13" t="s">
        <v>55</v>
      </c>
      <c r="AH1" s="13" t="s">
        <v>95</v>
      </c>
      <c r="AI1" s="13" t="s">
        <v>73</v>
      </c>
      <c r="AJ1" s="13" t="s">
        <v>84</v>
      </c>
      <c r="AK1" s="13" t="s">
        <v>93</v>
      </c>
      <c r="AL1" s="13" t="s">
        <v>46</v>
      </c>
      <c r="AM1" s="13" t="s">
        <v>8</v>
      </c>
      <c r="AN1" s="13" t="s">
        <v>89</v>
      </c>
      <c r="AO1" s="13" t="s">
        <v>32</v>
      </c>
      <c r="AP1" s="13" t="s">
        <v>69</v>
      </c>
      <c r="AQ1" s="13" t="s">
        <v>34</v>
      </c>
      <c r="AR1" s="13" t="s">
        <v>102</v>
      </c>
      <c r="AS1" s="13" t="s">
        <v>71</v>
      </c>
      <c r="AT1" s="13" t="s">
        <v>82</v>
      </c>
      <c r="AU1" s="13" t="s">
        <v>97</v>
      </c>
      <c r="AV1" s="13" t="s">
        <v>20</v>
      </c>
      <c r="AW1" s="13" t="s">
        <v>96</v>
      </c>
      <c r="AX1" s="13" t="s">
        <v>15</v>
      </c>
      <c r="AY1" s="13" t="s">
        <v>22</v>
      </c>
      <c r="AZ1" s="13" t="s">
        <v>37</v>
      </c>
      <c r="BA1" s="13" t="s">
        <v>77</v>
      </c>
      <c r="BB1" s="13" t="s">
        <v>104</v>
      </c>
      <c r="BC1" s="13" t="s">
        <v>48</v>
      </c>
      <c r="BD1" s="13" t="s">
        <v>100</v>
      </c>
      <c r="BE1" s="13" t="s">
        <v>6</v>
      </c>
      <c r="BF1" s="13" t="s">
        <v>39</v>
      </c>
      <c r="BG1" s="13" t="s">
        <v>114</v>
      </c>
      <c r="BH1" s="13" t="s">
        <v>106</v>
      </c>
      <c r="BI1" s="13" t="s">
        <v>75</v>
      </c>
      <c r="BJ1" s="13" t="s">
        <v>73</v>
      </c>
      <c r="BK1" s="13" t="s">
        <v>107</v>
      </c>
      <c r="BL1" s="13" t="s">
        <v>116</v>
      </c>
      <c r="BM1" s="13" t="s">
        <v>8</v>
      </c>
    </row>
    <row r="2" spans="1:65" x14ac:dyDescent="0.4">
      <c r="A2" s="11" t="s">
        <v>108</v>
      </c>
      <c r="B2" s="11">
        <f>IF(Pivot!B6&gt;0,1,0)</f>
        <v>0</v>
      </c>
      <c r="C2" s="11">
        <f>IF(Pivot!C6&gt;0,1,0)</f>
        <v>0</v>
      </c>
      <c r="D2" s="11">
        <f>IF(Pivot!D6&gt;0,1,0)</f>
        <v>0</v>
      </c>
      <c r="E2" s="11">
        <f>IF(Pivot!E6&gt;0,1,0)</f>
        <v>0</v>
      </c>
      <c r="F2" s="11">
        <f>IF(Pivot!F6&gt;0,1,0)</f>
        <v>0</v>
      </c>
      <c r="G2" s="11">
        <f>IF(Pivot!G6&gt;0,1,0)</f>
        <v>0</v>
      </c>
      <c r="H2" s="11">
        <f>IF(Pivot!H6&gt;0,1,0)</f>
        <v>0</v>
      </c>
      <c r="I2" s="11">
        <f>IF(Pivot!I6&gt;0,1,0)</f>
        <v>0</v>
      </c>
      <c r="J2" s="11">
        <f>IF(Pivot!J6&gt;0,1,0)</f>
        <v>0</v>
      </c>
      <c r="K2" s="11">
        <f>IF(Pivot!K6&gt;0,1,0)</f>
        <v>0</v>
      </c>
      <c r="L2" s="11">
        <f>IF(Pivot!L6&gt;0,1,0)</f>
        <v>0</v>
      </c>
      <c r="M2" s="11">
        <f>IF(Pivot!M6&gt;0,1,0)</f>
        <v>0</v>
      </c>
      <c r="N2" s="11">
        <f>IF(Pivot!N6&gt;0,1,0)</f>
        <v>0</v>
      </c>
      <c r="O2" s="11">
        <f>IF(Pivot!O6&gt;0,1,0)</f>
        <v>1</v>
      </c>
      <c r="P2" s="11">
        <f>IF(Pivot!P6&gt;0,1,0)</f>
        <v>0</v>
      </c>
      <c r="Q2" s="11">
        <f>IF(Pivot!Q6&gt;0,1,0)</f>
        <v>0</v>
      </c>
      <c r="R2" s="11">
        <f>IF(Pivot!R6&gt;0,1,0)</f>
        <v>0</v>
      </c>
      <c r="S2" s="11">
        <f>IF(Pivot!S6&gt;0,1,0)</f>
        <v>1</v>
      </c>
      <c r="T2" s="11">
        <f>IF(Pivot!T6&gt;0,1,0)</f>
        <v>1</v>
      </c>
      <c r="U2" s="11">
        <f>IF(Pivot!U6&gt;0,1,0)</f>
        <v>0</v>
      </c>
      <c r="V2" s="11">
        <f>IF(Pivot!V6&gt;0,1,0)</f>
        <v>1</v>
      </c>
      <c r="W2" s="11">
        <f>IF(Pivot!W6&gt;0,1,0)</f>
        <v>0</v>
      </c>
      <c r="X2" s="11">
        <f>IF(Pivot!X6&gt;0,1,0)</f>
        <v>0</v>
      </c>
      <c r="Y2" s="11">
        <f>IF(Pivot!Y6&gt;0,1,0)</f>
        <v>0</v>
      </c>
      <c r="Z2" s="11">
        <f>IF(Pivot!Z6&gt;0,1,0)</f>
        <v>0</v>
      </c>
      <c r="AA2" s="11">
        <f>IF(Pivot!AA6&gt;0,1,0)</f>
        <v>0</v>
      </c>
      <c r="AB2" s="11">
        <f>IF(Pivot!AB6&gt;0,1,0)</f>
        <v>0</v>
      </c>
      <c r="AC2" s="11">
        <f>IF(Pivot!AC6&gt;0,1,0)</f>
        <v>0</v>
      </c>
      <c r="AD2" s="11">
        <f>IF(Pivot!AD6&gt;0,1,0)</f>
        <v>0</v>
      </c>
      <c r="AE2" s="11">
        <f>IF(Pivot!AE6&gt;0,1,0)</f>
        <v>1</v>
      </c>
      <c r="AF2" s="11">
        <f>IF(Pivot!AF6&gt;0,1,0)</f>
        <v>0</v>
      </c>
      <c r="AG2" s="11">
        <f>IF(Pivot!AG6&gt;0,1,0)</f>
        <v>0</v>
      </c>
      <c r="AH2" s="11">
        <f>IF(Pivot!AH6&gt;0,1,0)</f>
        <v>0</v>
      </c>
      <c r="AI2" s="11">
        <f>IF(Pivot!AI6&gt;0,1,0)</f>
        <v>1</v>
      </c>
      <c r="AJ2" s="11">
        <f>IF(Pivot!AJ6&gt;0,1,0)</f>
        <v>0</v>
      </c>
      <c r="AK2" s="11">
        <f>IF(Pivot!AK6&gt;0,1,0)</f>
        <v>0</v>
      </c>
      <c r="AL2" s="11">
        <f>IF(Pivot!AL6&gt;0,1,0)</f>
        <v>0</v>
      </c>
      <c r="AM2" s="11">
        <f>IF(Pivot!AM6&gt;0,1,0)</f>
        <v>0</v>
      </c>
      <c r="AN2" s="11">
        <f>IF(Pivot!AN6&gt;0,1,0)</f>
        <v>0</v>
      </c>
      <c r="AO2" s="11">
        <f>IF(Pivot!AO6&gt;0,1,0)</f>
        <v>0</v>
      </c>
      <c r="AP2" s="11">
        <f>IF(Pivot!AP6&gt;0,1,0)</f>
        <v>0</v>
      </c>
      <c r="AQ2" s="11">
        <f>IF(Pivot!AQ6&gt;0,1,0)</f>
        <v>0</v>
      </c>
      <c r="AR2" s="11">
        <f>IF(Pivot!AR6&gt;0,1,0)</f>
        <v>0</v>
      </c>
      <c r="AS2" s="11">
        <f>IF(Pivot!AS6&gt;0,1,0)</f>
        <v>0</v>
      </c>
      <c r="AT2" s="11">
        <f>IF(Pivot!AT6&gt;0,1,0)</f>
        <v>1</v>
      </c>
      <c r="AU2" s="11">
        <f>IF(Pivot!AU6&gt;0,1,0)</f>
        <v>0</v>
      </c>
      <c r="AV2" s="11">
        <f>IF(Pivot!AV6&gt;0,1,0)</f>
        <v>0</v>
      </c>
      <c r="AW2" s="11">
        <f>IF(Pivot!AW6&gt;0,1,0)</f>
        <v>0</v>
      </c>
      <c r="AX2" s="11">
        <f>IF(Pivot!AX6&gt;0,1,0)</f>
        <v>1</v>
      </c>
      <c r="AY2" s="11">
        <f>IF(Pivot!AY6&gt;0,1,0)</f>
        <v>1</v>
      </c>
      <c r="AZ2" s="11">
        <f>IF(Pivot!AZ6&gt;0,1,0)</f>
        <v>0</v>
      </c>
      <c r="BA2" s="11">
        <f>IF(Pivot!BA6&gt;0,1,0)</f>
        <v>0</v>
      </c>
      <c r="BB2" s="11">
        <f>IF(Pivot!BB6&gt;0,1,0)</f>
        <v>0</v>
      </c>
      <c r="BC2" s="11">
        <f>IF(Pivot!BC6&gt;0,1,0)</f>
        <v>1</v>
      </c>
      <c r="BD2" s="11">
        <f>IF(Pivot!BD6&gt;0,1,0)</f>
        <v>0</v>
      </c>
      <c r="BE2" s="11">
        <f>IF(Pivot!BE6&gt;0,1,0)</f>
        <v>0</v>
      </c>
      <c r="BF2" s="11">
        <f>IF(Pivot!BF6&gt;0,1,0)</f>
        <v>0</v>
      </c>
      <c r="BG2" s="11">
        <f>IF(Pivot!BG6&gt;0,1,0)</f>
        <v>1</v>
      </c>
      <c r="BH2" s="11">
        <f>IF(Pivot!BH6&gt;0,1,0)</f>
        <v>0</v>
      </c>
      <c r="BI2" s="11">
        <f>IF(Pivot!BI6&gt;0,1,0)</f>
        <v>0</v>
      </c>
      <c r="BJ2" s="11">
        <f>IF(Pivot!BJ6&gt;0,1,0)</f>
        <v>1</v>
      </c>
      <c r="BK2" s="11">
        <f>IF(Pivot!BK6&gt;0,1,0)</f>
        <v>0</v>
      </c>
      <c r="BL2" s="11">
        <f>IF(Pivot!BL6&gt;0,1,0)</f>
        <v>1</v>
      </c>
      <c r="BM2" s="11">
        <f>IF(Pivot!BM6&gt;0,1,0)</f>
        <v>0</v>
      </c>
    </row>
    <row r="3" spans="1:65" x14ac:dyDescent="0.4">
      <c r="A3" s="11" t="s">
        <v>86</v>
      </c>
      <c r="B3" s="11">
        <f>IF(Pivot!B7&gt;0,1,0)</f>
        <v>0</v>
      </c>
      <c r="C3" s="11">
        <f>IF(Pivot!C7&gt;0,1,0)</f>
        <v>0</v>
      </c>
      <c r="D3" s="11">
        <f>IF(Pivot!D7&gt;0,1,0)</f>
        <v>0</v>
      </c>
      <c r="E3" s="11">
        <f>IF(Pivot!E7&gt;0,1,0)</f>
        <v>0</v>
      </c>
      <c r="F3" s="11">
        <f>IF(Pivot!F7&gt;0,1,0)</f>
        <v>1</v>
      </c>
      <c r="G3" s="11">
        <f>IF(Pivot!G7&gt;0,1,0)</f>
        <v>0</v>
      </c>
      <c r="H3" s="11">
        <f>IF(Pivot!H7&gt;0,1,0)</f>
        <v>0</v>
      </c>
      <c r="I3" s="11">
        <f>IF(Pivot!I7&gt;0,1,0)</f>
        <v>1</v>
      </c>
      <c r="J3" s="11">
        <f>IF(Pivot!J7&gt;0,1,0)</f>
        <v>0</v>
      </c>
      <c r="K3" s="11">
        <f>IF(Pivot!K7&gt;0,1,0)</f>
        <v>0</v>
      </c>
      <c r="L3" s="11">
        <f>IF(Pivot!L7&gt;0,1,0)</f>
        <v>0</v>
      </c>
      <c r="M3" s="11">
        <f>IF(Pivot!M7&gt;0,1,0)</f>
        <v>0</v>
      </c>
      <c r="N3" s="11">
        <f>IF(Pivot!N7&gt;0,1,0)</f>
        <v>0</v>
      </c>
      <c r="O3" s="11">
        <f>IF(Pivot!O7&gt;0,1,0)</f>
        <v>0</v>
      </c>
      <c r="P3" s="11">
        <f>IF(Pivot!P7&gt;0,1,0)</f>
        <v>1</v>
      </c>
      <c r="Q3" s="11">
        <f>IF(Pivot!Q7&gt;0,1,0)</f>
        <v>0</v>
      </c>
      <c r="R3" s="11">
        <f>IF(Pivot!R7&gt;0,1,0)</f>
        <v>1</v>
      </c>
      <c r="S3" s="11">
        <f>IF(Pivot!S7&gt;0,1,0)</f>
        <v>0</v>
      </c>
      <c r="T3" s="11">
        <f>IF(Pivot!T7&gt;0,1,0)</f>
        <v>1</v>
      </c>
      <c r="U3" s="11">
        <f>IF(Pivot!U7&gt;0,1,0)</f>
        <v>0</v>
      </c>
      <c r="V3" s="11">
        <f>IF(Pivot!V7&gt;0,1,0)</f>
        <v>1</v>
      </c>
      <c r="W3" s="11">
        <f>IF(Pivot!W7&gt;0,1,0)</f>
        <v>0</v>
      </c>
      <c r="X3" s="11">
        <f>IF(Pivot!X7&gt;0,1,0)</f>
        <v>0</v>
      </c>
      <c r="Y3" s="11">
        <f>IF(Pivot!Y7&gt;0,1,0)</f>
        <v>0</v>
      </c>
      <c r="Z3" s="11">
        <f>IF(Pivot!Z7&gt;0,1,0)</f>
        <v>0</v>
      </c>
      <c r="AA3" s="11">
        <f>IF(Pivot!AA7&gt;0,1,0)</f>
        <v>0</v>
      </c>
      <c r="AB3" s="11">
        <f>IF(Pivot!AB7&gt;0,1,0)</f>
        <v>0</v>
      </c>
      <c r="AC3" s="11">
        <f>IF(Pivot!AC7&gt;0,1,0)</f>
        <v>0</v>
      </c>
      <c r="AD3" s="11">
        <f>IF(Pivot!AD7&gt;0,1,0)</f>
        <v>0</v>
      </c>
      <c r="AE3" s="11">
        <f>IF(Pivot!AE7&gt;0,1,0)</f>
        <v>0</v>
      </c>
      <c r="AF3" s="11">
        <f>IF(Pivot!AF7&gt;0,1,0)</f>
        <v>0</v>
      </c>
      <c r="AG3" s="11">
        <f>IF(Pivot!AG7&gt;0,1,0)</f>
        <v>0</v>
      </c>
      <c r="AH3" s="11">
        <f>IF(Pivot!AH7&gt;0,1,0)</f>
        <v>1</v>
      </c>
      <c r="AI3" s="11">
        <f>IF(Pivot!AI7&gt;0,1,0)</f>
        <v>1</v>
      </c>
      <c r="AJ3" s="11">
        <f>IF(Pivot!AJ7&gt;0,1,0)</f>
        <v>0</v>
      </c>
      <c r="AK3" s="11">
        <f>IF(Pivot!AK7&gt;0,1,0)</f>
        <v>1</v>
      </c>
      <c r="AL3" s="11">
        <f>IF(Pivot!AL7&gt;0,1,0)</f>
        <v>0</v>
      </c>
      <c r="AM3" s="11">
        <f>IF(Pivot!AM7&gt;0,1,0)</f>
        <v>0</v>
      </c>
      <c r="AN3" s="11">
        <f>IF(Pivot!AN7&gt;0,1,0)</f>
        <v>1</v>
      </c>
      <c r="AO3" s="11">
        <f>IF(Pivot!AO7&gt;0,1,0)</f>
        <v>0</v>
      </c>
      <c r="AP3" s="11">
        <f>IF(Pivot!AP7&gt;0,1,0)</f>
        <v>1</v>
      </c>
      <c r="AQ3" s="11">
        <f>IF(Pivot!AQ7&gt;0,1,0)</f>
        <v>0</v>
      </c>
      <c r="AR3" s="11">
        <f>IF(Pivot!AR7&gt;0,1,0)</f>
        <v>1</v>
      </c>
      <c r="AS3" s="11">
        <f>IF(Pivot!AS7&gt;0,1,0)</f>
        <v>0</v>
      </c>
      <c r="AT3" s="11">
        <f>IF(Pivot!AT7&gt;0,1,0)</f>
        <v>0</v>
      </c>
      <c r="AU3" s="11">
        <f>IF(Pivot!AU7&gt;0,1,0)</f>
        <v>1</v>
      </c>
      <c r="AV3" s="11">
        <f>IF(Pivot!AV7&gt;0,1,0)</f>
        <v>0</v>
      </c>
      <c r="AW3" s="11">
        <f>IF(Pivot!AW7&gt;0,1,0)</f>
        <v>1</v>
      </c>
      <c r="AX3" s="11">
        <f>IF(Pivot!AX7&gt;0,1,0)</f>
        <v>0</v>
      </c>
      <c r="AY3" s="11">
        <f>IF(Pivot!AY7&gt;0,1,0)</f>
        <v>1</v>
      </c>
      <c r="AZ3" s="11">
        <f>IF(Pivot!AZ7&gt;0,1,0)</f>
        <v>0</v>
      </c>
      <c r="BA3" s="11">
        <f>IF(Pivot!BA7&gt;0,1,0)</f>
        <v>0</v>
      </c>
      <c r="BB3" s="11">
        <f>IF(Pivot!BB7&gt;0,1,0)</f>
        <v>1</v>
      </c>
      <c r="BC3" s="11">
        <f>IF(Pivot!BC7&gt;0,1,0)</f>
        <v>1</v>
      </c>
      <c r="BD3" s="11">
        <f>IF(Pivot!BD7&gt;0,1,0)</f>
        <v>1</v>
      </c>
      <c r="BE3" s="11">
        <f>IF(Pivot!BE7&gt;0,1,0)</f>
        <v>0</v>
      </c>
      <c r="BF3" s="11">
        <f>IF(Pivot!BF7&gt;0,1,0)</f>
        <v>0</v>
      </c>
      <c r="BG3" s="11">
        <f>IF(Pivot!BG7&gt;0,1,0)</f>
        <v>0</v>
      </c>
      <c r="BH3" s="11">
        <f>IF(Pivot!BH7&gt;0,1,0)</f>
        <v>1</v>
      </c>
      <c r="BI3" s="11">
        <f>IF(Pivot!BI7&gt;0,1,0)</f>
        <v>0</v>
      </c>
      <c r="BJ3" s="11">
        <f>IF(Pivot!BJ7&gt;0,1,0)</f>
        <v>1</v>
      </c>
      <c r="BK3" s="11">
        <f>IF(Pivot!BK7&gt;0,1,0)</f>
        <v>1</v>
      </c>
      <c r="BL3" s="11">
        <f>IF(Pivot!BL7&gt;0,1,0)</f>
        <v>0</v>
      </c>
      <c r="BM3" s="11">
        <f>IF(Pivot!BM7&gt;0,1,0)</f>
        <v>0</v>
      </c>
    </row>
    <row r="4" spans="1:65" x14ac:dyDescent="0.4">
      <c r="A4" s="11" t="s">
        <v>79</v>
      </c>
      <c r="B4" s="11">
        <f>IF(Pivot!B8&gt;0,1,0)</f>
        <v>0</v>
      </c>
      <c r="C4" s="11">
        <f>IF(Pivot!C8&gt;0,1,0)</f>
        <v>0</v>
      </c>
      <c r="D4" s="11">
        <f>IF(Pivot!D8&gt;0,1,0)</f>
        <v>0</v>
      </c>
      <c r="E4" s="11">
        <f>IF(Pivot!E8&gt;0,1,0)</f>
        <v>0</v>
      </c>
      <c r="F4" s="11">
        <f>IF(Pivot!F8&gt;0,1,0)</f>
        <v>0</v>
      </c>
      <c r="G4" s="11">
        <f>IF(Pivot!G8&gt;0,1,0)</f>
        <v>0</v>
      </c>
      <c r="H4" s="11">
        <f>IF(Pivot!H8&gt;0,1,0)</f>
        <v>0</v>
      </c>
      <c r="I4" s="11">
        <f>IF(Pivot!I8&gt;0,1,0)</f>
        <v>0</v>
      </c>
      <c r="J4" s="11">
        <f>IF(Pivot!J8&gt;0,1,0)</f>
        <v>0</v>
      </c>
      <c r="K4" s="11">
        <f>IF(Pivot!K8&gt;0,1,0)</f>
        <v>0</v>
      </c>
      <c r="L4" s="11">
        <f>IF(Pivot!L8&gt;0,1,0)</f>
        <v>1</v>
      </c>
      <c r="M4" s="11">
        <f>IF(Pivot!M8&gt;0,1,0)</f>
        <v>1</v>
      </c>
      <c r="N4" s="11">
        <f>IF(Pivot!N8&gt;0,1,0)</f>
        <v>0</v>
      </c>
      <c r="O4" s="11">
        <f>IF(Pivot!O8&gt;0,1,0)</f>
        <v>1</v>
      </c>
      <c r="P4" s="11">
        <f>IF(Pivot!P8&gt;0,1,0)</f>
        <v>0</v>
      </c>
      <c r="Q4" s="11">
        <f>IF(Pivot!Q8&gt;0,1,0)</f>
        <v>0</v>
      </c>
      <c r="R4" s="11">
        <f>IF(Pivot!R8&gt;0,1,0)</f>
        <v>0</v>
      </c>
      <c r="S4" s="11">
        <f>IF(Pivot!S8&gt;0,1,0)</f>
        <v>1</v>
      </c>
      <c r="T4" s="11">
        <f>IF(Pivot!T8&gt;0,1,0)</f>
        <v>1</v>
      </c>
      <c r="U4" s="11">
        <f>IF(Pivot!U8&gt;0,1,0)</f>
        <v>0</v>
      </c>
      <c r="V4" s="11">
        <f>IF(Pivot!V8&gt;0,1,0)</f>
        <v>1</v>
      </c>
      <c r="W4" s="11">
        <f>IF(Pivot!W8&gt;0,1,0)</f>
        <v>1</v>
      </c>
      <c r="X4" s="11">
        <f>IF(Pivot!X8&gt;0,1,0)</f>
        <v>1</v>
      </c>
      <c r="Y4" s="11">
        <f>IF(Pivot!Y8&gt;0,1,0)</f>
        <v>0</v>
      </c>
      <c r="Z4" s="11">
        <f>IF(Pivot!Z8&gt;0,1,0)</f>
        <v>0</v>
      </c>
      <c r="AA4" s="11">
        <f>IF(Pivot!AA8&gt;0,1,0)</f>
        <v>0</v>
      </c>
      <c r="AB4" s="11">
        <f>IF(Pivot!AB8&gt;0,1,0)</f>
        <v>1</v>
      </c>
      <c r="AC4" s="11">
        <f>IF(Pivot!AC8&gt;0,1,0)</f>
        <v>0</v>
      </c>
      <c r="AD4" s="11">
        <f>IF(Pivot!AD8&gt;0,1,0)</f>
        <v>0</v>
      </c>
      <c r="AE4" s="11">
        <f>IF(Pivot!AE8&gt;0,1,0)</f>
        <v>0</v>
      </c>
      <c r="AF4" s="11">
        <f>IF(Pivot!AF8&gt;0,1,0)</f>
        <v>1</v>
      </c>
      <c r="AG4" s="11">
        <f>IF(Pivot!AG8&gt;0,1,0)</f>
        <v>0</v>
      </c>
      <c r="AH4" s="11">
        <f>IF(Pivot!AH8&gt;0,1,0)</f>
        <v>0</v>
      </c>
      <c r="AI4" s="11">
        <f>IF(Pivot!AI8&gt;0,1,0)</f>
        <v>1</v>
      </c>
      <c r="AJ4" s="11">
        <f>IF(Pivot!AJ8&gt;0,1,0)</f>
        <v>1</v>
      </c>
      <c r="AK4" s="11">
        <f>IF(Pivot!AK8&gt;0,1,0)</f>
        <v>0</v>
      </c>
      <c r="AL4" s="11">
        <f>IF(Pivot!AL8&gt;0,1,0)</f>
        <v>0</v>
      </c>
      <c r="AM4" s="11">
        <f>IF(Pivot!AM8&gt;0,1,0)</f>
        <v>0</v>
      </c>
      <c r="AN4" s="11">
        <f>IF(Pivot!AN8&gt;0,1,0)</f>
        <v>0</v>
      </c>
      <c r="AO4" s="11">
        <f>IF(Pivot!AO8&gt;0,1,0)</f>
        <v>0</v>
      </c>
      <c r="AP4" s="11">
        <f>IF(Pivot!AP8&gt;0,1,0)</f>
        <v>0</v>
      </c>
      <c r="AQ4" s="11">
        <f>IF(Pivot!AQ8&gt;0,1,0)</f>
        <v>0</v>
      </c>
      <c r="AR4" s="11">
        <f>IF(Pivot!AR8&gt;0,1,0)</f>
        <v>0</v>
      </c>
      <c r="AS4" s="11">
        <f>IF(Pivot!AS8&gt;0,1,0)</f>
        <v>0</v>
      </c>
      <c r="AT4" s="11">
        <f>IF(Pivot!AT8&gt;0,1,0)</f>
        <v>0</v>
      </c>
      <c r="AU4" s="11">
        <f>IF(Pivot!AU8&gt;0,1,0)</f>
        <v>0</v>
      </c>
      <c r="AV4" s="11">
        <f>IF(Pivot!AV8&gt;0,1,0)</f>
        <v>0</v>
      </c>
      <c r="AW4" s="11">
        <f>IF(Pivot!AW8&gt;0,1,0)</f>
        <v>0</v>
      </c>
      <c r="AX4" s="11">
        <f>IF(Pivot!AX8&gt;0,1,0)</f>
        <v>0</v>
      </c>
      <c r="AY4" s="11">
        <f>IF(Pivot!AY8&gt;0,1,0)</f>
        <v>0</v>
      </c>
      <c r="AZ4" s="11">
        <f>IF(Pivot!AZ8&gt;0,1,0)</f>
        <v>0</v>
      </c>
      <c r="BA4" s="11">
        <f>IF(Pivot!BA8&gt;0,1,0)</f>
        <v>0</v>
      </c>
      <c r="BB4" s="11">
        <f>IF(Pivot!BB8&gt;0,1,0)</f>
        <v>0</v>
      </c>
      <c r="BC4" s="11">
        <f>IF(Pivot!BC8&gt;0,1,0)</f>
        <v>0</v>
      </c>
      <c r="BD4" s="11">
        <f>IF(Pivot!BD8&gt;0,1,0)</f>
        <v>0</v>
      </c>
      <c r="BE4" s="11">
        <f>IF(Pivot!BE8&gt;0,1,0)</f>
        <v>0</v>
      </c>
      <c r="BF4" s="11">
        <f>IF(Pivot!BF8&gt;0,1,0)</f>
        <v>0</v>
      </c>
      <c r="BG4" s="11">
        <f>IF(Pivot!BG8&gt;0,1,0)</f>
        <v>0</v>
      </c>
      <c r="BH4" s="11">
        <f>IF(Pivot!BH8&gt;0,1,0)</f>
        <v>0</v>
      </c>
      <c r="BI4" s="11">
        <f>IF(Pivot!BI8&gt;0,1,0)</f>
        <v>0</v>
      </c>
      <c r="BJ4" s="11">
        <f>IF(Pivot!BJ8&gt;0,1,0)</f>
        <v>0</v>
      </c>
      <c r="BK4" s="11">
        <f>IF(Pivot!BK8&gt;0,1,0)</f>
        <v>0</v>
      </c>
      <c r="BL4" s="11">
        <f>IF(Pivot!BL8&gt;0,1,0)</f>
        <v>0</v>
      </c>
      <c r="BM4" s="11">
        <f>IF(Pivot!BM8&gt;0,1,0)</f>
        <v>0</v>
      </c>
    </row>
    <row r="5" spans="1:65" x14ac:dyDescent="0.4">
      <c r="A5" s="11" t="s">
        <v>41</v>
      </c>
      <c r="B5" s="11">
        <f>IF(Pivot!B9&gt;0,1,0)</f>
        <v>0</v>
      </c>
      <c r="C5" s="11">
        <f>IF(Pivot!C9&gt;0,1,0)</f>
        <v>1</v>
      </c>
      <c r="D5" s="11">
        <f>IF(Pivot!D9&gt;0,1,0)</f>
        <v>1</v>
      </c>
      <c r="E5" s="11">
        <f>IF(Pivot!E9&gt;0,1,0)</f>
        <v>1</v>
      </c>
      <c r="F5" s="11">
        <f>IF(Pivot!F9&gt;0,1,0)</f>
        <v>0</v>
      </c>
      <c r="G5" s="11">
        <f>IF(Pivot!G9&gt;0,1,0)</f>
        <v>1</v>
      </c>
      <c r="H5" s="11">
        <f>IF(Pivot!H9&gt;0,1,0)</f>
        <v>0</v>
      </c>
      <c r="I5" s="11">
        <f>IF(Pivot!I9&gt;0,1,0)</f>
        <v>0</v>
      </c>
      <c r="J5" s="11">
        <f>IF(Pivot!J9&gt;0,1,0)</f>
        <v>0</v>
      </c>
      <c r="K5" s="11">
        <f>IF(Pivot!K9&gt;0,1,0)</f>
        <v>1</v>
      </c>
      <c r="L5" s="11">
        <f>IF(Pivot!L9&gt;0,1,0)</f>
        <v>0</v>
      </c>
      <c r="M5" s="11">
        <f>IF(Pivot!M9&gt;0,1,0)</f>
        <v>0</v>
      </c>
      <c r="N5" s="11">
        <f>IF(Pivot!N9&gt;0,1,0)</f>
        <v>0</v>
      </c>
      <c r="O5" s="11">
        <f>IF(Pivot!O9&gt;0,1,0)</f>
        <v>0</v>
      </c>
      <c r="P5" s="11">
        <f>IF(Pivot!P9&gt;0,1,0)</f>
        <v>0</v>
      </c>
      <c r="Q5" s="11">
        <f>IF(Pivot!Q9&gt;0,1,0)</f>
        <v>1</v>
      </c>
      <c r="R5" s="11">
        <f>IF(Pivot!R9&gt;0,1,0)</f>
        <v>0</v>
      </c>
      <c r="S5" s="11">
        <f>IF(Pivot!S9&gt;0,1,0)</f>
        <v>1</v>
      </c>
      <c r="T5" s="11">
        <f>IF(Pivot!T9&gt;0,1,0)</f>
        <v>1</v>
      </c>
      <c r="U5" s="11">
        <f>IF(Pivot!U9&gt;0,1,0)</f>
        <v>1</v>
      </c>
      <c r="V5" s="11">
        <f>IF(Pivot!V9&gt;0,1,0)</f>
        <v>1</v>
      </c>
      <c r="W5" s="11">
        <f>IF(Pivot!W9&gt;0,1,0)</f>
        <v>0</v>
      </c>
      <c r="X5" s="11">
        <f>IF(Pivot!X9&gt;0,1,0)</f>
        <v>0</v>
      </c>
      <c r="Y5" s="11">
        <f>IF(Pivot!Y9&gt;0,1,0)</f>
        <v>0</v>
      </c>
      <c r="Z5" s="11">
        <f>IF(Pivot!Z9&gt;0,1,0)</f>
        <v>1</v>
      </c>
      <c r="AA5" s="11">
        <f>IF(Pivot!AA9&gt;0,1,0)</f>
        <v>1</v>
      </c>
      <c r="AB5" s="11">
        <f>IF(Pivot!AB9&gt;0,1,0)</f>
        <v>0</v>
      </c>
      <c r="AC5" s="11">
        <f>IF(Pivot!AC9&gt;0,1,0)</f>
        <v>1</v>
      </c>
      <c r="AD5" s="11">
        <f>IF(Pivot!AD9&gt;0,1,0)</f>
        <v>0</v>
      </c>
      <c r="AE5" s="11">
        <f>IF(Pivot!AE9&gt;0,1,0)</f>
        <v>0</v>
      </c>
      <c r="AF5" s="11">
        <f>IF(Pivot!AF9&gt;0,1,0)</f>
        <v>0</v>
      </c>
      <c r="AG5" s="11">
        <f>IF(Pivot!AG9&gt;0,1,0)</f>
        <v>1</v>
      </c>
      <c r="AH5" s="11">
        <f>IF(Pivot!AH9&gt;0,1,0)</f>
        <v>0</v>
      </c>
      <c r="AI5" s="11">
        <f>IF(Pivot!AI9&gt;0,1,0)</f>
        <v>0</v>
      </c>
      <c r="AJ5" s="11">
        <f>IF(Pivot!AJ9&gt;0,1,0)</f>
        <v>0</v>
      </c>
      <c r="AK5" s="11">
        <f>IF(Pivot!AK9&gt;0,1,0)</f>
        <v>0</v>
      </c>
      <c r="AL5" s="11">
        <f>IF(Pivot!AL9&gt;0,1,0)</f>
        <v>1</v>
      </c>
      <c r="AM5" s="11">
        <f>IF(Pivot!AM9&gt;0,1,0)</f>
        <v>0</v>
      </c>
      <c r="AN5" s="11">
        <f>IF(Pivot!AN9&gt;0,1,0)</f>
        <v>0</v>
      </c>
      <c r="AO5" s="11">
        <f>IF(Pivot!AO9&gt;0,1,0)</f>
        <v>0</v>
      </c>
      <c r="AP5" s="11">
        <f>IF(Pivot!AP9&gt;0,1,0)</f>
        <v>1</v>
      </c>
      <c r="AQ5" s="11">
        <f>IF(Pivot!AQ9&gt;0,1,0)</f>
        <v>0</v>
      </c>
      <c r="AR5" s="11">
        <f>IF(Pivot!AR9&gt;0,1,0)</f>
        <v>0</v>
      </c>
      <c r="AS5" s="11">
        <f>IF(Pivot!AS9&gt;0,1,0)</f>
        <v>1</v>
      </c>
      <c r="AT5" s="11">
        <f>IF(Pivot!AT9&gt;0,1,0)</f>
        <v>0</v>
      </c>
      <c r="AU5" s="11">
        <f>IF(Pivot!AU9&gt;0,1,0)</f>
        <v>0</v>
      </c>
      <c r="AV5" s="11">
        <f>IF(Pivot!AV9&gt;0,1,0)</f>
        <v>1</v>
      </c>
      <c r="AW5" s="11">
        <f>IF(Pivot!AW9&gt;0,1,0)</f>
        <v>0</v>
      </c>
      <c r="AX5" s="11">
        <f>IF(Pivot!AX9&gt;0,1,0)</f>
        <v>1</v>
      </c>
      <c r="AY5" s="11">
        <f>IF(Pivot!AY9&gt;0,1,0)</f>
        <v>1</v>
      </c>
      <c r="AZ5" s="11">
        <f>IF(Pivot!AZ9&gt;0,1,0)</f>
        <v>0</v>
      </c>
      <c r="BA5" s="11">
        <f>IF(Pivot!BA9&gt;0,1,0)</f>
        <v>1</v>
      </c>
      <c r="BB5" s="11">
        <f>IF(Pivot!BB9&gt;0,1,0)</f>
        <v>0</v>
      </c>
      <c r="BC5" s="11">
        <f>IF(Pivot!BC9&gt;0,1,0)</f>
        <v>1</v>
      </c>
      <c r="BD5" s="11">
        <f>IF(Pivot!BD9&gt;0,1,0)</f>
        <v>0</v>
      </c>
      <c r="BE5" s="11">
        <f>IF(Pivot!BE9&gt;0,1,0)</f>
        <v>0</v>
      </c>
      <c r="BF5" s="11">
        <f>IF(Pivot!BF9&gt;0,1,0)</f>
        <v>0</v>
      </c>
      <c r="BG5" s="11">
        <f>IF(Pivot!BG9&gt;0,1,0)</f>
        <v>0</v>
      </c>
      <c r="BH5" s="11">
        <f>IF(Pivot!BH9&gt;0,1,0)</f>
        <v>0</v>
      </c>
      <c r="BI5" s="11">
        <f>IF(Pivot!BI9&gt;0,1,0)</f>
        <v>1</v>
      </c>
      <c r="BJ5" s="11">
        <f>IF(Pivot!BJ9&gt;0,1,0)</f>
        <v>1</v>
      </c>
      <c r="BK5" s="11">
        <f>IF(Pivot!BK9&gt;0,1,0)</f>
        <v>0</v>
      </c>
      <c r="BL5" s="11">
        <f>IF(Pivot!BL9&gt;0,1,0)</f>
        <v>0</v>
      </c>
      <c r="BM5" s="11">
        <f>IF(Pivot!BM9&gt;0,1,0)</f>
        <v>0</v>
      </c>
    </row>
    <row r="6" spans="1:65" x14ac:dyDescent="0.4">
      <c r="A6" s="11" t="s">
        <v>0</v>
      </c>
      <c r="B6" s="11">
        <f>IF(Pivot!B10&gt;0,1,0)</f>
        <v>1</v>
      </c>
      <c r="C6" s="11">
        <f>IF(Pivot!C10&gt;0,1,0)</f>
        <v>0</v>
      </c>
      <c r="D6" s="11">
        <f>IF(Pivot!D10&gt;0,1,0)</f>
        <v>0</v>
      </c>
      <c r="E6" s="11">
        <f>IF(Pivot!E10&gt;0,1,0)</f>
        <v>0</v>
      </c>
      <c r="F6" s="11">
        <f>IF(Pivot!F10&gt;0,1,0)</f>
        <v>0</v>
      </c>
      <c r="G6" s="11">
        <f>IF(Pivot!G10&gt;0,1,0)</f>
        <v>0</v>
      </c>
      <c r="H6" s="11">
        <f>IF(Pivot!H10&gt;0,1,0)</f>
        <v>1</v>
      </c>
      <c r="I6" s="11">
        <f>IF(Pivot!I10&gt;0,1,0)</f>
        <v>0</v>
      </c>
      <c r="J6" s="11">
        <f>IF(Pivot!J10&gt;0,1,0)</f>
        <v>1</v>
      </c>
      <c r="K6" s="11">
        <f>IF(Pivot!K10&gt;0,1,0)</f>
        <v>0</v>
      </c>
      <c r="L6" s="11">
        <f>IF(Pivot!L10&gt;0,1,0)</f>
        <v>0</v>
      </c>
      <c r="M6" s="11">
        <f>IF(Pivot!M10&gt;0,1,0)</f>
        <v>0</v>
      </c>
      <c r="N6" s="11">
        <f>IF(Pivot!N10&gt;0,1,0)</f>
        <v>1</v>
      </c>
      <c r="O6" s="11">
        <f>IF(Pivot!O10&gt;0,1,0)</f>
        <v>0</v>
      </c>
      <c r="P6" s="11">
        <f>IF(Pivot!P10&gt;0,1,0)</f>
        <v>0</v>
      </c>
      <c r="Q6" s="11">
        <f>IF(Pivot!Q10&gt;0,1,0)</f>
        <v>1</v>
      </c>
      <c r="R6" s="11">
        <f>IF(Pivot!R10&gt;0,1,0)</f>
        <v>0</v>
      </c>
      <c r="S6" s="11">
        <f>IF(Pivot!S10&gt;0,1,0)</f>
        <v>1</v>
      </c>
      <c r="T6" s="11">
        <f>IF(Pivot!T10&gt;0,1,0)</f>
        <v>1</v>
      </c>
      <c r="U6" s="11">
        <f>IF(Pivot!U10&gt;0,1,0)</f>
        <v>0</v>
      </c>
      <c r="V6" s="11">
        <f>IF(Pivot!V10&gt;0,1,0)</f>
        <v>0</v>
      </c>
      <c r="W6" s="11">
        <f>IF(Pivot!W10&gt;0,1,0)</f>
        <v>1</v>
      </c>
      <c r="X6" s="11">
        <f>IF(Pivot!X10&gt;0,1,0)</f>
        <v>1</v>
      </c>
      <c r="Y6" s="11">
        <f>IF(Pivot!Y10&gt;0,1,0)</f>
        <v>1</v>
      </c>
      <c r="Z6" s="11">
        <f>IF(Pivot!Z10&gt;0,1,0)</f>
        <v>0</v>
      </c>
      <c r="AA6" s="11">
        <f>IF(Pivot!AA10&gt;0,1,0)</f>
        <v>0</v>
      </c>
      <c r="AB6" s="11">
        <f>IF(Pivot!AB10&gt;0,1,0)</f>
        <v>1</v>
      </c>
      <c r="AC6" s="11">
        <f>IF(Pivot!AC10&gt;0,1,0)</f>
        <v>0</v>
      </c>
      <c r="AD6" s="11">
        <f>IF(Pivot!AD10&gt;0,1,0)</f>
        <v>1</v>
      </c>
      <c r="AE6" s="11">
        <f>IF(Pivot!AE10&gt;0,1,0)</f>
        <v>0</v>
      </c>
      <c r="AF6" s="11">
        <f>IF(Pivot!AF10&gt;0,1,0)</f>
        <v>0</v>
      </c>
      <c r="AG6" s="11">
        <f>IF(Pivot!AG10&gt;0,1,0)</f>
        <v>0</v>
      </c>
      <c r="AH6" s="11">
        <f>IF(Pivot!AH10&gt;0,1,0)</f>
        <v>0</v>
      </c>
      <c r="AI6" s="11">
        <f>IF(Pivot!AI10&gt;0,1,0)</f>
        <v>0</v>
      </c>
      <c r="AJ6" s="11">
        <f>IF(Pivot!AJ10&gt;0,1,0)</f>
        <v>0</v>
      </c>
      <c r="AK6" s="11">
        <f>IF(Pivot!AK10&gt;0,1,0)</f>
        <v>0</v>
      </c>
      <c r="AL6" s="11">
        <f>IF(Pivot!AL10&gt;0,1,0)</f>
        <v>0</v>
      </c>
      <c r="AM6" s="11">
        <f>IF(Pivot!AM10&gt;0,1,0)</f>
        <v>1</v>
      </c>
      <c r="AN6" s="11">
        <f>IF(Pivot!AN10&gt;0,1,0)</f>
        <v>0</v>
      </c>
      <c r="AO6" s="11">
        <f>IF(Pivot!AO10&gt;0,1,0)</f>
        <v>1</v>
      </c>
      <c r="AP6" s="11">
        <f>IF(Pivot!AP10&gt;0,1,0)</f>
        <v>0</v>
      </c>
      <c r="AQ6" s="11">
        <f>IF(Pivot!AQ10&gt;0,1,0)</f>
        <v>1</v>
      </c>
      <c r="AR6" s="11">
        <f>IF(Pivot!AR10&gt;0,1,0)</f>
        <v>0</v>
      </c>
      <c r="AS6" s="11">
        <f>IF(Pivot!AS10&gt;0,1,0)</f>
        <v>0</v>
      </c>
      <c r="AT6" s="11">
        <f>IF(Pivot!AT10&gt;0,1,0)</f>
        <v>0</v>
      </c>
      <c r="AU6" s="11">
        <f>IF(Pivot!AU10&gt;0,1,0)</f>
        <v>0</v>
      </c>
      <c r="AV6" s="11">
        <f>IF(Pivot!AV10&gt;0,1,0)</f>
        <v>1</v>
      </c>
      <c r="AW6" s="11">
        <f>IF(Pivot!AW10&gt;0,1,0)</f>
        <v>0</v>
      </c>
      <c r="AX6" s="11">
        <f>IF(Pivot!AX10&gt;0,1,0)</f>
        <v>0</v>
      </c>
      <c r="AY6" s="11">
        <f>IF(Pivot!AY10&gt;0,1,0)</f>
        <v>1</v>
      </c>
      <c r="AZ6" s="11">
        <f>IF(Pivot!AZ10&gt;0,1,0)</f>
        <v>1</v>
      </c>
      <c r="BA6" s="11">
        <f>IF(Pivot!BA10&gt;0,1,0)</f>
        <v>0</v>
      </c>
      <c r="BB6" s="11">
        <f>IF(Pivot!BB10&gt;0,1,0)</f>
        <v>0</v>
      </c>
      <c r="BC6" s="11">
        <f>IF(Pivot!BC10&gt;0,1,0)</f>
        <v>0</v>
      </c>
      <c r="BD6" s="11">
        <f>IF(Pivot!BD10&gt;0,1,0)</f>
        <v>0</v>
      </c>
      <c r="BE6" s="11">
        <f>IF(Pivot!BE10&gt;0,1,0)</f>
        <v>1</v>
      </c>
      <c r="BF6" s="11">
        <f>IF(Pivot!BF10&gt;0,1,0)</f>
        <v>1</v>
      </c>
      <c r="BG6" s="11">
        <f>IF(Pivot!BG10&gt;0,1,0)</f>
        <v>0</v>
      </c>
      <c r="BH6" s="11">
        <f>IF(Pivot!BH10&gt;0,1,0)</f>
        <v>0</v>
      </c>
      <c r="BI6" s="11">
        <f>IF(Pivot!BI10&gt;0,1,0)</f>
        <v>0</v>
      </c>
      <c r="BJ6" s="11">
        <f>IF(Pivot!BJ10&gt;0,1,0)</f>
        <v>0</v>
      </c>
      <c r="BK6" s="11">
        <f>IF(Pivot!BK10&gt;0,1,0)</f>
        <v>0</v>
      </c>
      <c r="BL6" s="11">
        <f>IF(Pivot!BL10&gt;0,1,0)</f>
        <v>0</v>
      </c>
      <c r="BM6" s="11">
        <f>IF(Pivot!BM10&gt;0,1,0)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6F9E-F494-4EB9-B252-5BC39AC7F87E}">
  <dimension ref="A1:F6"/>
  <sheetViews>
    <sheetView tabSelected="1" workbookViewId="0">
      <selection activeCell="B16" sqref="B16"/>
    </sheetView>
  </sheetViews>
  <sheetFormatPr defaultRowHeight="14.6" x14ac:dyDescent="0.4"/>
  <sheetData>
    <row r="1" spans="1:6" x14ac:dyDescent="0.4">
      <c r="A1" s="17" t="s">
        <v>133</v>
      </c>
      <c r="B1" s="15">
        <v>107859</v>
      </c>
      <c r="C1" s="15">
        <v>120259</v>
      </c>
      <c r="D1" s="15">
        <v>127232</v>
      </c>
      <c r="E1" s="15">
        <v>127265</v>
      </c>
      <c r="F1" s="15">
        <v>127427</v>
      </c>
    </row>
    <row r="2" spans="1:6" x14ac:dyDescent="0.4">
      <c r="A2" s="15">
        <v>107859</v>
      </c>
      <c r="B2" s="16">
        <v>13</v>
      </c>
      <c r="C2" s="14">
        <v>6</v>
      </c>
      <c r="D2" s="14">
        <v>5</v>
      </c>
      <c r="E2" s="14">
        <v>7</v>
      </c>
      <c r="F2" s="14">
        <v>3</v>
      </c>
    </row>
    <row r="3" spans="1:6" x14ac:dyDescent="0.4">
      <c r="A3" s="15">
        <v>120259</v>
      </c>
      <c r="B3" s="14">
        <v>6</v>
      </c>
      <c r="C3" s="16">
        <v>21</v>
      </c>
      <c r="D3" s="14">
        <v>3</v>
      </c>
      <c r="E3" s="14">
        <v>6</v>
      </c>
      <c r="F3" s="14">
        <v>2</v>
      </c>
    </row>
    <row r="4" spans="1:6" x14ac:dyDescent="0.4">
      <c r="A4" s="15">
        <v>127232</v>
      </c>
      <c r="B4" s="14">
        <v>5</v>
      </c>
      <c r="C4" s="14">
        <v>3</v>
      </c>
      <c r="D4" s="16">
        <v>12</v>
      </c>
      <c r="E4" s="14">
        <v>3</v>
      </c>
      <c r="F4" s="14">
        <v>5</v>
      </c>
    </row>
    <row r="5" spans="1:6" x14ac:dyDescent="0.4">
      <c r="A5" s="15">
        <v>127265</v>
      </c>
      <c r="B5" s="14">
        <v>7</v>
      </c>
      <c r="C5" s="14">
        <v>6</v>
      </c>
      <c r="D5" s="14">
        <v>3</v>
      </c>
      <c r="E5" s="16">
        <v>24</v>
      </c>
      <c r="F5" s="14">
        <v>5</v>
      </c>
    </row>
    <row r="6" spans="1:6" x14ac:dyDescent="0.4">
      <c r="A6" s="15">
        <v>127427</v>
      </c>
      <c r="B6" s="14">
        <v>3</v>
      </c>
      <c r="C6" s="14">
        <v>2</v>
      </c>
      <c r="D6" s="14">
        <v>5</v>
      </c>
      <c r="E6" s="14">
        <v>5</v>
      </c>
      <c r="F6" s="16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6122-0D71-4673-88B0-2B4913BA9B28}">
  <dimension ref="A1:K98"/>
  <sheetViews>
    <sheetView workbookViewId="0">
      <selection activeCell="Q18" sqref="Q18"/>
    </sheetView>
  </sheetViews>
  <sheetFormatPr defaultRowHeight="14.6" x14ac:dyDescent="0.4"/>
  <sheetData>
    <row r="1" spans="1:11" x14ac:dyDescent="0.4">
      <c r="A1" s="7" t="s">
        <v>118</v>
      </c>
      <c r="B1" s="8" t="s">
        <v>119</v>
      </c>
      <c r="C1" s="8" t="s">
        <v>120</v>
      </c>
      <c r="D1" s="8" t="s">
        <v>121</v>
      </c>
      <c r="E1" s="8" t="s">
        <v>122</v>
      </c>
      <c r="F1" s="8" t="s">
        <v>123</v>
      </c>
      <c r="G1" s="8" t="s">
        <v>124</v>
      </c>
      <c r="H1" s="8" t="s">
        <v>125</v>
      </c>
      <c r="I1" s="8" t="s">
        <v>126</v>
      </c>
      <c r="J1" s="8" t="s">
        <v>127</v>
      </c>
      <c r="K1" s="9" t="s">
        <v>128</v>
      </c>
    </row>
    <row r="2" spans="1:11" x14ac:dyDescent="0.4">
      <c r="A2" s="1" t="s">
        <v>0</v>
      </c>
      <c r="B2" s="2">
        <v>20</v>
      </c>
      <c r="C2" s="2">
        <v>32025</v>
      </c>
      <c r="D2" s="2">
        <v>1</v>
      </c>
      <c r="E2" s="2" t="s">
        <v>1</v>
      </c>
      <c r="F2" s="2" t="s">
        <v>2</v>
      </c>
      <c r="G2" s="2">
        <v>51233</v>
      </c>
      <c r="H2" s="2" t="s">
        <v>3</v>
      </c>
      <c r="I2" s="2" t="s">
        <v>4</v>
      </c>
      <c r="J2" s="2" t="s">
        <v>5</v>
      </c>
      <c r="K2" s="3">
        <v>9</v>
      </c>
    </row>
    <row r="3" spans="1:11" x14ac:dyDescent="0.4">
      <c r="A3" s="4" t="s">
        <v>0</v>
      </c>
      <c r="B3" s="5">
        <v>20</v>
      </c>
      <c r="C3" s="5">
        <v>32025</v>
      </c>
      <c r="D3" s="5">
        <v>1</v>
      </c>
      <c r="E3" s="5" t="s">
        <v>1</v>
      </c>
      <c r="F3" s="5" t="s">
        <v>2</v>
      </c>
      <c r="G3" s="5">
        <v>51235</v>
      </c>
      <c r="H3" s="5" t="s">
        <v>6</v>
      </c>
      <c r="I3" s="5" t="s">
        <v>7</v>
      </c>
      <c r="J3" s="5" t="s">
        <v>5</v>
      </c>
      <c r="K3" s="6">
        <v>2</v>
      </c>
    </row>
    <row r="4" spans="1:11" x14ac:dyDescent="0.4">
      <c r="A4" s="1" t="s">
        <v>0</v>
      </c>
      <c r="B4" s="2">
        <v>20</v>
      </c>
      <c r="C4" s="2">
        <v>32025</v>
      </c>
      <c r="D4" s="2">
        <v>1</v>
      </c>
      <c r="E4" s="2" t="s">
        <v>1</v>
      </c>
      <c r="F4" s="2" t="s">
        <v>2</v>
      </c>
      <c r="G4" s="2">
        <v>51236</v>
      </c>
      <c r="H4" s="2" t="s">
        <v>8</v>
      </c>
      <c r="I4" s="2" t="s">
        <v>9</v>
      </c>
      <c r="J4" s="2" t="s">
        <v>5</v>
      </c>
      <c r="K4" s="3">
        <v>2</v>
      </c>
    </row>
    <row r="5" spans="1:11" x14ac:dyDescent="0.4">
      <c r="A5" s="4" t="s">
        <v>0</v>
      </c>
      <c r="B5" s="5">
        <v>20</v>
      </c>
      <c r="C5" s="5">
        <v>32025</v>
      </c>
      <c r="D5" s="5">
        <v>1</v>
      </c>
      <c r="E5" s="5" t="s">
        <v>1</v>
      </c>
      <c r="F5" s="5" t="s">
        <v>2</v>
      </c>
      <c r="G5" s="5">
        <v>51244</v>
      </c>
      <c r="H5" s="5" t="s">
        <v>10</v>
      </c>
      <c r="I5" s="5" t="s">
        <v>11</v>
      </c>
      <c r="J5" s="5" t="s">
        <v>5</v>
      </c>
      <c r="K5" s="6">
        <v>9</v>
      </c>
    </row>
    <row r="6" spans="1:11" x14ac:dyDescent="0.4">
      <c r="A6" s="1" t="s">
        <v>0</v>
      </c>
      <c r="B6" s="2">
        <v>20</v>
      </c>
      <c r="C6" s="2">
        <v>32025</v>
      </c>
      <c r="D6" s="2">
        <v>1</v>
      </c>
      <c r="E6" s="2" t="s">
        <v>1</v>
      </c>
      <c r="F6" s="2" t="s">
        <v>2</v>
      </c>
      <c r="G6" s="2">
        <v>51225</v>
      </c>
      <c r="H6" s="2" t="s">
        <v>12</v>
      </c>
      <c r="I6" s="2" t="s">
        <v>13</v>
      </c>
      <c r="J6" s="2" t="s">
        <v>14</v>
      </c>
      <c r="K6" s="3">
        <v>0</v>
      </c>
    </row>
    <row r="7" spans="1:11" x14ac:dyDescent="0.4">
      <c r="A7" s="4" t="s">
        <v>0</v>
      </c>
      <c r="B7" s="5">
        <v>20</v>
      </c>
      <c r="C7" s="5">
        <v>32025</v>
      </c>
      <c r="D7" s="5">
        <v>1</v>
      </c>
      <c r="E7" s="5" t="s">
        <v>1</v>
      </c>
      <c r="F7" s="5" t="s">
        <v>2</v>
      </c>
      <c r="G7" s="5">
        <v>51226</v>
      </c>
      <c r="H7" s="5" t="s">
        <v>15</v>
      </c>
      <c r="I7" s="5" t="s">
        <v>15</v>
      </c>
      <c r="J7" s="5" t="s">
        <v>5</v>
      </c>
      <c r="K7" s="6">
        <v>1</v>
      </c>
    </row>
    <row r="8" spans="1:11" x14ac:dyDescent="0.4">
      <c r="A8" s="1" t="s">
        <v>0</v>
      </c>
      <c r="B8" s="2">
        <v>20</v>
      </c>
      <c r="C8" s="2">
        <v>32025</v>
      </c>
      <c r="D8" s="2">
        <v>1</v>
      </c>
      <c r="E8" s="2" t="s">
        <v>1</v>
      </c>
      <c r="F8" s="2" t="s">
        <v>2</v>
      </c>
      <c r="G8" s="2">
        <v>51227</v>
      </c>
      <c r="H8" s="2" t="s">
        <v>16</v>
      </c>
      <c r="I8" s="2" t="s">
        <v>17</v>
      </c>
      <c r="J8" s="2" t="s">
        <v>5</v>
      </c>
      <c r="K8" s="3">
        <v>7</v>
      </c>
    </row>
    <row r="9" spans="1:11" x14ac:dyDescent="0.4">
      <c r="A9" s="4" t="s">
        <v>0</v>
      </c>
      <c r="B9" s="5">
        <v>20</v>
      </c>
      <c r="C9" s="5">
        <v>32025</v>
      </c>
      <c r="D9" s="5">
        <v>1</v>
      </c>
      <c r="E9" s="5" t="s">
        <v>1</v>
      </c>
      <c r="F9" s="5" t="s">
        <v>2</v>
      </c>
      <c r="G9" s="5">
        <v>51228</v>
      </c>
      <c r="H9" s="5" t="s">
        <v>18</v>
      </c>
      <c r="I9" s="5" t="s">
        <v>19</v>
      </c>
      <c r="J9" s="5" t="s">
        <v>5</v>
      </c>
      <c r="K9" s="6">
        <v>7</v>
      </c>
    </row>
    <row r="10" spans="1:11" x14ac:dyDescent="0.4">
      <c r="A10" s="1" t="s">
        <v>0</v>
      </c>
      <c r="B10" s="2">
        <v>20</v>
      </c>
      <c r="C10" s="2">
        <v>32025</v>
      </c>
      <c r="D10" s="2">
        <v>1</v>
      </c>
      <c r="E10" s="2" t="s">
        <v>1</v>
      </c>
      <c r="F10" s="2" t="s">
        <v>2</v>
      </c>
      <c r="G10" s="2">
        <v>51229</v>
      </c>
      <c r="H10" s="2" t="s">
        <v>20</v>
      </c>
      <c r="I10" s="2" t="s">
        <v>21</v>
      </c>
      <c r="J10" s="2" t="s">
        <v>5</v>
      </c>
      <c r="K10" s="3">
        <v>3</v>
      </c>
    </row>
    <row r="11" spans="1:11" x14ac:dyDescent="0.4">
      <c r="A11" s="4" t="s">
        <v>0</v>
      </c>
      <c r="B11" s="5">
        <v>20</v>
      </c>
      <c r="C11" s="5">
        <v>32025</v>
      </c>
      <c r="D11" s="5">
        <v>1</v>
      </c>
      <c r="E11" s="5" t="s">
        <v>1</v>
      </c>
      <c r="F11" s="5" t="s">
        <v>2</v>
      </c>
      <c r="G11" s="5">
        <v>51230</v>
      </c>
      <c r="H11" s="5" t="s">
        <v>22</v>
      </c>
      <c r="I11" s="5" t="s">
        <v>23</v>
      </c>
      <c r="J11" s="5" t="s">
        <v>5</v>
      </c>
      <c r="K11" s="6">
        <v>3</v>
      </c>
    </row>
    <row r="12" spans="1:11" x14ac:dyDescent="0.4">
      <c r="A12" s="1" t="s">
        <v>0</v>
      </c>
      <c r="B12" s="2">
        <v>20</v>
      </c>
      <c r="C12" s="2">
        <v>32025</v>
      </c>
      <c r="D12" s="2">
        <v>1</v>
      </c>
      <c r="E12" s="2" t="s">
        <v>1</v>
      </c>
      <c r="F12" s="2" t="s">
        <v>2</v>
      </c>
      <c r="G12" s="2">
        <v>93145</v>
      </c>
      <c r="H12" s="2" t="s">
        <v>24</v>
      </c>
      <c r="I12" s="2" t="s">
        <v>25</v>
      </c>
      <c r="J12" s="2" t="s">
        <v>5</v>
      </c>
      <c r="K12" s="3">
        <v>12</v>
      </c>
    </row>
    <row r="13" spans="1:11" x14ac:dyDescent="0.4">
      <c r="A13" s="4" t="s">
        <v>0</v>
      </c>
      <c r="B13" s="5">
        <v>20</v>
      </c>
      <c r="C13" s="5">
        <v>32025</v>
      </c>
      <c r="D13" s="5">
        <v>1</v>
      </c>
      <c r="E13" s="5" t="s">
        <v>1</v>
      </c>
      <c r="F13" s="5" t="s">
        <v>2</v>
      </c>
      <c r="G13" s="5">
        <v>93146</v>
      </c>
      <c r="H13" s="5" t="s">
        <v>26</v>
      </c>
      <c r="I13" s="5" t="s">
        <v>27</v>
      </c>
      <c r="J13" s="5" t="s">
        <v>5</v>
      </c>
      <c r="K13" s="6">
        <v>12</v>
      </c>
    </row>
    <row r="14" spans="1:11" x14ac:dyDescent="0.4">
      <c r="A14" s="1" t="s">
        <v>0</v>
      </c>
      <c r="B14" s="2">
        <v>20</v>
      </c>
      <c r="C14" s="2">
        <v>32025</v>
      </c>
      <c r="D14" s="2">
        <v>1</v>
      </c>
      <c r="E14" s="2" t="s">
        <v>1</v>
      </c>
      <c r="F14" s="2" t="s">
        <v>2</v>
      </c>
      <c r="G14" s="2">
        <v>93147</v>
      </c>
      <c r="H14" s="2" t="s">
        <v>28</v>
      </c>
      <c r="I14" s="2" t="s">
        <v>29</v>
      </c>
      <c r="J14" s="2" t="s">
        <v>5</v>
      </c>
      <c r="K14" s="3">
        <v>12</v>
      </c>
    </row>
    <row r="15" spans="1:11" x14ac:dyDescent="0.4">
      <c r="A15" s="4" t="s">
        <v>0</v>
      </c>
      <c r="B15" s="5">
        <v>20</v>
      </c>
      <c r="C15" s="5">
        <v>32025</v>
      </c>
      <c r="D15" s="5">
        <v>2</v>
      </c>
      <c r="E15" s="5" t="s">
        <v>30</v>
      </c>
      <c r="F15" s="5" t="s">
        <v>31</v>
      </c>
      <c r="G15" s="5">
        <v>51237</v>
      </c>
      <c r="H15" s="5" t="s">
        <v>32</v>
      </c>
      <c r="I15" s="5" t="s">
        <v>33</v>
      </c>
      <c r="J15" s="5" t="s">
        <v>14</v>
      </c>
      <c r="K15" s="6">
        <v>0</v>
      </c>
    </row>
    <row r="16" spans="1:11" x14ac:dyDescent="0.4">
      <c r="A16" s="1" t="s">
        <v>0</v>
      </c>
      <c r="B16" s="2">
        <v>20</v>
      </c>
      <c r="C16" s="2">
        <v>32025</v>
      </c>
      <c r="D16" s="2">
        <v>2</v>
      </c>
      <c r="E16" s="2" t="s">
        <v>30</v>
      </c>
      <c r="F16" s="2" t="s">
        <v>31</v>
      </c>
      <c r="G16" s="2">
        <v>51238</v>
      </c>
      <c r="H16" s="2" t="s">
        <v>34</v>
      </c>
      <c r="I16" s="2" t="s">
        <v>35</v>
      </c>
      <c r="J16" s="2" t="s">
        <v>14</v>
      </c>
      <c r="K16" s="3">
        <v>0</v>
      </c>
    </row>
    <row r="17" spans="1:11" x14ac:dyDescent="0.4">
      <c r="A17" s="4" t="s">
        <v>0</v>
      </c>
      <c r="B17" s="5">
        <v>20</v>
      </c>
      <c r="C17" s="5">
        <v>32025</v>
      </c>
      <c r="D17" s="5">
        <v>2</v>
      </c>
      <c r="E17" s="5" t="s">
        <v>30</v>
      </c>
      <c r="F17" s="5" t="s">
        <v>31</v>
      </c>
      <c r="G17" s="5">
        <v>51240</v>
      </c>
      <c r="H17" s="5" t="s">
        <v>6</v>
      </c>
      <c r="I17" s="5" t="s">
        <v>7</v>
      </c>
      <c r="J17" s="5" t="s">
        <v>36</v>
      </c>
      <c r="K17" s="6">
        <v>32</v>
      </c>
    </row>
    <row r="18" spans="1:11" x14ac:dyDescent="0.4">
      <c r="A18" s="1" t="s">
        <v>0</v>
      </c>
      <c r="B18" s="2">
        <v>20</v>
      </c>
      <c r="C18" s="2">
        <v>32025</v>
      </c>
      <c r="D18" s="2">
        <v>2</v>
      </c>
      <c r="E18" s="2" t="s">
        <v>30</v>
      </c>
      <c r="F18" s="2" t="s">
        <v>31</v>
      </c>
      <c r="G18" s="2">
        <v>51241</v>
      </c>
      <c r="H18" s="2" t="s">
        <v>8</v>
      </c>
      <c r="I18" s="2" t="s">
        <v>9</v>
      </c>
      <c r="J18" s="2" t="s">
        <v>36</v>
      </c>
      <c r="K18" s="3">
        <v>32</v>
      </c>
    </row>
    <row r="19" spans="1:11" x14ac:dyDescent="0.4">
      <c r="A19" s="4" t="s">
        <v>0</v>
      </c>
      <c r="B19" s="5">
        <v>20</v>
      </c>
      <c r="C19" s="5">
        <v>32025</v>
      </c>
      <c r="D19" s="5">
        <v>2</v>
      </c>
      <c r="E19" s="5" t="s">
        <v>30</v>
      </c>
      <c r="F19" s="5" t="s">
        <v>31</v>
      </c>
      <c r="G19" s="5">
        <v>51242</v>
      </c>
      <c r="H19" s="5" t="s">
        <v>20</v>
      </c>
      <c r="I19" s="5" t="s">
        <v>21</v>
      </c>
      <c r="J19" s="5" t="s">
        <v>36</v>
      </c>
      <c r="K19" s="6">
        <v>33</v>
      </c>
    </row>
    <row r="20" spans="1:11" x14ac:dyDescent="0.4">
      <c r="A20" s="1" t="s">
        <v>0</v>
      </c>
      <c r="B20" s="2">
        <v>20</v>
      </c>
      <c r="C20" s="2">
        <v>32025</v>
      </c>
      <c r="D20" s="2">
        <v>2</v>
      </c>
      <c r="E20" s="2" t="s">
        <v>30</v>
      </c>
      <c r="F20" s="2" t="s">
        <v>31</v>
      </c>
      <c r="G20" s="2">
        <v>51243</v>
      </c>
      <c r="H20" s="2" t="s">
        <v>22</v>
      </c>
      <c r="I20" s="2" t="s">
        <v>23</v>
      </c>
      <c r="J20" s="2" t="s">
        <v>36</v>
      </c>
      <c r="K20" s="3">
        <v>33</v>
      </c>
    </row>
    <row r="21" spans="1:11" x14ac:dyDescent="0.4">
      <c r="A21" s="4" t="s">
        <v>0</v>
      </c>
      <c r="B21" s="5">
        <v>20</v>
      </c>
      <c r="C21" s="5">
        <v>32025</v>
      </c>
      <c r="D21" s="5">
        <v>2</v>
      </c>
      <c r="E21" s="5" t="s">
        <v>30</v>
      </c>
      <c r="F21" s="5" t="s">
        <v>31</v>
      </c>
      <c r="G21" s="5">
        <v>51266</v>
      </c>
      <c r="H21" s="5" t="s">
        <v>37</v>
      </c>
      <c r="I21" s="5" t="s">
        <v>38</v>
      </c>
      <c r="J21" s="5" t="s">
        <v>14</v>
      </c>
      <c r="K21" s="6">
        <v>0</v>
      </c>
    </row>
    <row r="22" spans="1:11" x14ac:dyDescent="0.4">
      <c r="A22" s="1" t="s">
        <v>0</v>
      </c>
      <c r="B22" s="2">
        <v>20</v>
      </c>
      <c r="C22" s="2">
        <v>32025</v>
      </c>
      <c r="D22" s="2">
        <v>2</v>
      </c>
      <c r="E22" s="2" t="s">
        <v>30</v>
      </c>
      <c r="F22" s="2" t="s">
        <v>31</v>
      </c>
      <c r="G22" s="2">
        <v>51267</v>
      </c>
      <c r="H22" s="2" t="s">
        <v>39</v>
      </c>
      <c r="I22" s="2" t="s">
        <v>40</v>
      </c>
      <c r="J22" s="2" t="s">
        <v>36</v>
      </c>
      <c r="K22" s="3">
        <v>34</v>
      </c>
    </row>
    <row r="23" spans="1:11" x14ac:dyDescent="0.4">
      <c r="A23" s="4" t="s">
        <v>41</v>
      </c>
      <c r="B23" s="5">
        <v>22</v>
      </c>
      <c r="C23" s="5">
        <v>32025</v>
      </c>
      <c r="D23" s="5">
        <v>1</v>
      </c>
      <c r="E23" s="5" t="s">
        <v>42</v>
      </c>
      <c r="F23" s="5" t="s">
        <v>43</v>
      </c>
      <c r="G23" s="5">
        <v>58154</v>
      </c>
      <c r="H23" s="5" t="s">
        <v>44</v>
      </c>
      <c r="I23" s="5" t="s">
        <v>45</v>
      </c>
      <c r="J23" s="5" t="s">
        <v>14</v>
      </c>
      <c r="K23" s="6">
        <v>0</v>
      </c>
    </row>
    <row r="24" spans="1:11" x14ac:dyDescent="0.4">
      <c r="A24" s="1" t="s">
        <v>41</v>
      </c>
      <c r="B24" s="2">
        <v>22</v>
      </c>
      <c r="C24" s="2">
        <v>32025</v>
      </c>
      <c r="D24" s="2">
        <v>1</v>
      </c>
      <c r="E24" s="2" t="s">
        <v>42</v>
      </c>
      <c r="F24" s="2" t="s">
        <v>43</v>
      </c>
      <c r="G24" s="2">
        <v>58155</v>
      </c>
      <c r="H24" s="2" t="s">
        <v>46</v>
      </c>
      <c r="I24" s="2" t="s">
        <v>47</v>
      </c>
      <c r="J24" s="2" t="s">
        <v>14</v>
      </c>
      <c r="K24" s="3">
        <v>0</v>
      </c>
    </row>
    <row r="25" spans="1:11" x14ac:dyDescent="0.4">
      <c r="A25" s="4" t="s">
        <v>41</v>
      </c>
      <c r="B25" s="5">
        <v>22</v>
      </c>
      <c r="C25" s="5">
        <v>32025</v>
      </c>
      <c r="D25" s="5">
        <v>1</v>
      </c>
      <c r="E25" s="5" t="s">
        <v>42</v>
      </c>
      <c r="F25" s="5" t="s">
        <v>43</v>
      </c>
      <c r="G25" s="5">
        <v>58156</v>
      </c>
      <c r="H25" s="5" t="s">
        <v>48</v>
      </c>
      <c r="I25" s="5" t="s">
        <v>49</v>
      </c>
      <c r="J25" s="5" t="s">
        <v>5</v>
      </c>
      <c r="K25" s="6">
        <v>1</v>
      </c>
    </row>
    <row r="26" spans="1:11" x14ac:dyDescent="0.4">
      <c r="A26" s="1" t="s">
        <v>41</v>
      </c>
      <c r="B26" s="2">
        <v>22</v>
      </c>
      <c r="C26" s="2">
        <v>32025</v>
      </c>
      <c r="D26" s="2">
        <v>1</v>
      </c>
      <c r="E26" s="2" t="s">
        <v>42</v>
      </c>
      <c r="F26" s="2" t="s">
        <v>43</v>
      </c>
      <c r="G26" s="2">
        <v>58157</v>
      </c>
      <c r="H26" s="2" t="s">
        <v>15</v>
      </c>
      <c r="I26" s="2" t="s">
        <v>15</v>
      </c>
      <c r="J26" s="2" t="s">
        <v>5</v>
      </c>
      <c r="K26" s="3">
        <v>1</v>
      </c>
    </row>
    <row r="27" spans="1:11" x14ac:dyDescent="0.4">
      <c r="A27" s="4" t="s">
        <v>41</v>
      </c>
      <c r="B27" s="5">
        <v>22</v>
      </c>
      <c r="C27" s="5">
        <v>32025</v>
      </c>
      <c r="D27" s="5">
        <v>1</v>
      </c>
      <c r="E27" s="5" t="s">
        <v>42</v>
      </c>
      <c r="F27" s="5" t="s">
        <v>43</v>
      </c>
      <c r="G27" s="5">
        <v>58158</v>
      </c>
      <c r="H27" s="5" t="s">
        <v>20</v>
      </c>
      <c r="I27" s="5" t="s">
        <v>21</v>
      </c>
      <c r="J27" s="5" t="s">
        <v>5</v>
      </c>
      <c r="K27" s="6">
        <v>3</v>
      </c>
    </row>
    <row r="28" spans="1:11" x14ac:dyDescent="0.4">
      <c r="A28" s="1" t="s">
        <v>41</v>
      </c>
      <c r="B28" s="2">
        <v>22</v>
      </c>
      <c r="C28" s="2">
        <v>32025</v>
      </c>
      <c r="D28" s="2">
        <v>1</v>
      </c>
      <c r="E28" s="2" t="s">
        <v>42</v>
      </c>
      <c r="F28" s="2" t="s">
        <v>43</v>
      </c>
      <c r="G28" s="2">
        <v>58159</v>
      </c>
      <c r="H28" s="2" t="s">
        <v>22</v>
      </c>
      <c r="I28" s="2" t="s">
        <v>23</v>
      </c>
      <c r="J28" s="2" t="s">
        <v>5</v>
      </c>
      <c r="K28" s="3">
        <v>3</v>
      </c>
    </row>
    <row r="29" spans="1:11" x14ac:dyDescent="0.4">
      <c r="A29" s="4" t="s">
        <v>41</v>
      </c>
      <c r="B29" s="5">
        <v>22</v>
      </c>
      <c r="C29" s="5">
        <v>32025</v>
      </c>
      <c r="D29" s="5">
        <v>1</v>
      </c>
      <c r="E29" s="5" t="s">
        <v>42</v>
      </c>
      <c r="F29" s="5" t="s">
        <v>43</v>
      </c>
      <c r="G29" s="5">
        <v>58160</v>
      </c>
      <c r="H29" s="5" t="s">
        <v>50</v>
      </c>
      <c r="I29" s="5" t="s">
        <v>4</v>
      </c>
      <c r="J29" s="5" t="s">
        <v>5</v>
      </c>
      <c r="K29" s="6">
        <v>6</v>
      </c>
    </row>
    <row r="30" spans="1:11" x14ac:dyDescent="0.4">
      <c r="A30" s="1" t="s">
        <v>41</v>
      </c>
      <c r="B30" s="2">
        <v>22</v>
      </c>
      <c r="C30" s="2">
        <v>32025</v>
      </c>
      <c r="D30" s="2">
        <v>1</v>
      </c>
      <c r="E30" s="2" t="s">
        <v>42</v>
      </c>
      <c r="F30" s="2" t="s">
        <v>43</v>
      </c>
      <c r="G30" s="2">
        <v>58161</v>
      </c>
      <c r="H30" s="2" t="s">
        <v>50</v>
      </c>
      <c r="I30" s="2" t="s">
        <v>4</v>
      </c>
      <c r="J30" s="2" t="s">
        <v>5</v>
      </c>
      <c r="K30" s="3">
        <v>8</v>
      </c>
    </row>
    <row r="31" spans="1:11" x14ac:dyDescent="0.4">
      <c r="A31" s="4" t="s">
        <v>41</v>
      </c>
      <c r="B31" s="5">
        <v>22</v>
      </c>
      <c r="C31" s="5">
        <v>32025</v>
      </c>
      <c r="D31" s="5">
        <v>1</v>
      </c>
      <c r="E31" s="5" t="s">
        <v>42</v>
      </c>
      <c r="F31" s="5" t="s">
        <v>43</v>
      </c>
      <c r="G31" s="5">
        <v>58162</v>
      </c>
      <c r="H31" s="5" t="s">
        <v>50</v>
      </c>
      <c r="I31" s="5" t="s">
        <v>4</v>
      </c>
      <c r="J31" s="5" t="s">
        <v>5</v>
      </c>
      <c r="K31" s="6">
        <v>10</v>
      </c>
    </row>
    <row r="32" spans="1:11" x14ac:dyDescent="0.4">
      <c r="A32" s="1" t="s">
        <v>41</v>
      </c>
      <c r="B32" s="2">
        <v>22</v>
      </c>
      <c r="C32" s="2">
        <v>32025</v>
      </c>
      <c r="D32" s="2">
        <v>1</v>
      </c>
      <c r="E32" s="2" t="s">
        <v>42</v>
      </c>
      <c r="F32" s="2" t="s">
        <v>43</v>
      </c>
      <c r="G32" s="2">
        <v>58163</v>
      </c>
      <c r="H32" s="2" t="s">
        <v>50</v>
      </c>
      <c r="I32" s="2" t="s">
        <v>4</v>
      </c>
      <c r="J32" s="2" t="s">
        <v>5</v>
      </c>
      <c r="K32" s="3">
        <v>2</v>
      </c>
    </row>
    <row r="33" spans="1:11" x14ac:dyDescent="0.4">
      <c r="A33" s="4" t="s">
        <v>41</v>
      </c>
      <c r="B33" s="5">
        <v>22</v>
      </c>
      <c r="C33" s="5">
        <v>32025</v>
      </c>
      <c r="D33" s="5">
        <v>1</v>
      </c>
      <c r="E33" s="5" t="s">
        <v>42</v>
      </c>
      <c r="F33" s="5" t="s">
        <v>43</v>
      </c>
      <c r="G33" s="5">
        <v>58164</v>
      </c>
      <c r="H33" s="5" t="s">
        <v>51</v>
      </c>
      <c r="I33" s="5" t="s">
        <v>52</v>
      </c>
      <c r="J33" s="5" t="s">
        <v>5</v>
      </c>
      <c r="K33" s="6">
        <v>8</v>
      </c>
    </row>
    <row r="34" spans="1:11" x14ac:dyDescent="0.4">
      <c r="A34" s="1" t="s">
        <v>41</v>
      </c>
      <c r="B34" s="2">
        <v>22</v>
      </c>
      <c r="C34" s="2">
        <v>32025</v>
      </c>
      <c r="D34" s="2">
        <v>1</v>
      </c>
      <c r="E34" s="2" t="s">
        <v>42</v>
      </c>
      <c r="F34" s="2" t="s">
        <v>43</v>
      </c>
      <c r="G34" s="2">
        <v>58165</v>
      </c>
      <c r="H34" s="2" t="s">
        <v>53</v>
      </c>
      <c r="I34" s="2" t="s">
        <v>54</v>
      </c>
      <c r="J34" s="2" t="s">
        <v>5</v>
      </c>
      <c r="K34" s="3">
        <v>10</v>
      </c>
    </row>
    <row r="35" spans="1:11" x14ac:dyDescent="0.4">
      <c r="A35" s="4" t="s">
        <v>41</v>
      </c>
      <c r="B35" s="5">
        <v>22</v>
      </c>
      <c r="C35" s="5">
        <v>32025</v>
      </c>
      <c r="D35" s="5">
        <v>1</v>
      </c>
      <c r="E35" s="5" t="s">
        <v>42</v>
      </c>
      <c r="F35" s="5" t="s">
        <v>43</v>
      </c>
      <c r="G35" s="5">
        <v>58166</v>
      </c>
      <c r="H35" s="5" t="s">
        <v>55</v>
      </c>
      <c r="I35" s="5" t="s">
        <v>56</v>
      </c>
      <c r="J35" s="5" t="s">
        <v>5</v>
      </c>
      <c r="K35" s="6">
        <v>6</v>
      </c>
    </row>
    <row r="36" spans="1:11" x14ac:dyDescent="0.4">
      <c r="A36" s="1" t="s">
        <v>41</v>
      </c>
      <c r="B36" s="2">
        <v>22</v>
      </c>
      <c r="C36" s="2">
        <v>32025</v>
      </c>
      <c r="D36" s="2">
        <v>1</v>
      </c>
      <c r="E36" s="2" t="s">
        <v>42</v>
      </c>
      <c r="F36" s="2" t="s">
        <v>43</v>
      </c>
      <c r="G36" s="2">
        <v>58167</v>
      </c>
      <c r="H36" s="2" t="s">
        <v>57</v>
      </c>
      <c r="I36" s="2" t="s">
        <v>58</v>
      </c>
      <c r="J36" s="2" t="s">
        <v>5</v>
      </c>
      <c r="K36" s="3">
        <v>2</v>
      </c>
    </row>
    <row r="37" spans="1:11" x14ac:dyDescent="0.4">
      <c r="A37" s="4" t="s">
        <v>41</v>
      </c>
      <c r="B37" s="5">
        <v>22</v>
      </c>
      <c r="C37" s="5">
        <v>32025</v>
      </c>
      <c r="D37" s="5">
        <v>1</v>
      </c>
      <c r="E37" s="5" t="s">
        <v>42</v>
      </c>
      <c r="F37" s="5" t="s">
        <v>43</v>
      </c>
      <c r="G37" s="5">
        <v>58168</v>
      </c>
      <c r="H37" s="5" t="s">
        <v>59</v>
      </c>
      <c r="I37" s="5" t="s">
        <v>60</v>
      </c>
      <c r="J37" s="5" t="s">
        <v>5</v>
      </c>
      <c r="K37" s="6">
        <v>4</v>
      </c>
    </row>
    <row r="38" spans="1:11" x14ac:dyDescent="0.4">
      <c r="A38" s="1" t="s">
        <v>41</v>
      </c>
      <c r="B38" s="2">
        <v>22</v>
      </c>
      <c r="C38" s="2">
        <v>32025</v>
      </c>
      <c r="D38" s="2">
        <v>1</v>
      </c>
      <c r="E38" s="2" t="s">
        <v>42</v>
      </c>
      <c r="F38" s="2" t="s">
        <v>43</v>
      </c>
      <c r="G38" s="2">
        <v>58169</v>
      </c>
      <c r="H38" s="2" t="s">
        <v>61</v>
      </c>
      <c r="I38" s="2" t="s">
        <v>62</v>
      </c>
      <c r="J38" s="2" t="s">
        <v>5</v>
      </c>
      <c r="K38" s="3">
        <v>12</v>
      </c>
    </row>
    <row r="39" spans="1:11" x14ac:dyDescent="0.4">
      <c r="A39" s="4" t="s">
        <v>41</v>
      </c>
      <c r="B39" s="5">
        <v>22</v>
      </c>
      <c r="C39" s="5">
        <v>32025</v>
      </c>
      <c r="D39" s="5">
        <v>1</v>
      </c>
      <c r="E39" s="5" t="s">
        <v>42</v>
      </c>
      <c r="F39" s="5" t="s">
        <v>43</v>
      </c>
      <c r="G39" s="5">
        <v>58170</v>
      </c>
      <c r="H39" s="5" t="s">
        <v>63</v>
      </c>
      <c r="I39" s="5" t="s">
        <v>64</v>
      </c>
      <c r="J39" s="5" t="s">
        <v>5</v>
      </c>
      <c r="K39" s="6">
        <v>12</v>
      </c>
    </row>
    <row r="40" spans="1:11" x14ac:dyDescent="0.4">
      <c r="A40" s="1" t="s">
        <v>41</v>
      </c>
      <c r="B40" s="2">
        <v>22</v>
      </c>
      <c r="C40" s="2">
        <v>32025</v>
      </c>
      <c r="D40" s="2">
        <v>1</v>
      </c>
      <c r="E40" s="2" t="s">
        <v>42</v>
      </c>
      <c r="F40" s="2" t="s">
        <v>43</v>
      </c>
      <c r="G40" s="2">
        <v>58171</v>
      </c>
      <c r="H40" s="2" t="s">
        <v>65</v>
      </c>
      <c r="I40" s="2" t="s">
        <v>66</v>
      </c>
      <c r="J40" s="2" t="s">
        <v>5</v>
      </c>
      <c r="K40" s="3">
        <v>12</v>
      </c>
    </row>
    <row r="41" spans="1:11" x14ac:dyDescent="0.4">
      <c r="A41" s="4" t="s">
        <v>41</v>
      </c>
      <c r="B41" s="5">
        <v>22</v>
      </c>
      <c r="C41" s="5">
        <v>32025</v>
      </c>
      <c r="D41" s="5">
        <v>2</v>
      </c>
      <c r="E41" s="5" t="s">
        <v>67</v>
      </c>
      <c r="F41" s="5" t="s">
        <v>68</v>
      </c>
      <c r="G41" s="5">
        <v>58172</v>
      </c>
      <c r="H41" s="5" t="s">
        <v>69</v>
      </c>
      <c r="I41" s="5" t="s">
        <v>70</v>
      </c>
      <c r="J41" s="5" t="s">
        <v>14</v>
      </c>
      <c r="K41" s="6">
        <v>0</v>
      </c>
    </row>
    <row r="42" spans="1:11" x14ac:dyDescent="0.4">
      <c r="A42" s="1" t="s">
        <v>41</v>
      </c>
      <c r="B42" s="2">
        <v>22</v>
      </c>
      <c r="C42" s="2">
        <v>32025</v>
      </c>
      <c r="D42" s="2">
        <v>2</v>
      </c>
      <c r="E42" s="2" t="s">
        <v>67</v>
      </c>
      <c r="F42" s="2" t="s">
        <v>68</v>
      </c>
      <c r="G42" s="2">
        <v>58173</v>
      </c>
      <c r="H42" s="2" t="s">
        <v>71</v>
      </c>
      <c r="I42" s="2" t="s">
        <v>72</v>
      </c>
      <c r="J42" s="2" t="s">
        <v>14</v>
      </c>
      <c r="K42" s="3">
        <v>0</v>
      </c>
    </row>
    <row r="43" spans="1:11" x14ac:dyDescent="0.4">
      <c r="A43" s="4" t="s">
        <v>41</v>
      </c>
      <c r="B43" s="5">
        <v>22</v>
      </c>
      <c r="C43" s="5">
        <v>32025</v>
      </c>
      <c r="D43" s="5">
        <v>2</v>
      </c>
      <c r="E43" s="5" t="s">
        <v>67</v>
      </c>
      <c r="F43" s="5" t="s">
        <v>68</v>
      </c>
      <c r="G43" s="5">
        <v>58175</v>
      </c>
      <c r="H43" s="5" t="s">
        <v>48</v>
      </c>
      <c r="I43" s="5" t="s">
        <v>49</v>
      </c>
      <c r="J43" s="5" t="s">
        <v>5</v>
      </c>
      <c r="K43" s="6">
        <v>1</v>
      </c>
    </row>
    <row r="44" spans="1:11" x14ac:dyDescent="0.4">
      <c r="A44" s="1" t="s">
        <v>41</v>
      </c>
      <c r="B44" s="2">
        <v>22</v>
      </c>
      <c r="C44" s="2">
        <v>32025</v>
      </c>
      <c r="D44" s="2">
        <v>2</v>
      </c>
      <c r="E44" s="2" t="s">
        <v>67</v>
      </c>
      <c r="F44" s="2" t="s">
        <v>68</v>
      </c>
      <c r="G44" s="2">
        <v>58176</v>
      </c>
      <c r="H44" s="2" t="s">
        <v>15</v>
      </c>
      <c r="I44" s="2" t="s">
        <v>15</v>
      </c>
      <c r="J44" s="2" t="s">
        <v>5</v>
      </c>
      <c r="K44" s="3">
        <v>1</v>
      </c>
    </row>
    <row r="45" spans="1:11" x14ac:dyDescent="0.4">
      <c r="A45" s="4" t="s">
        <v>41</v>
      </c>
      <c r="B45" s="5">
        <v>22</v>
      </c>
      <c r="C45" s="5">
        <v>32025</v>
      </c>
      <c r="D45" s="5">
        <v>2</v>
      </c>
      <c r="E45" s="5" t="s">
        <v>67</v>
      </c>
      <c r="F45" s="5" t="s">
        <v>68</v>
      </c>
      <c r="G45" s="5">
        <v>58177</v>
      </c>
      <c r="H45" s="5" t="s">
        <v>73</v>
      </c>
      <c r="I45" s="5" t="s">
        <v>74</v>
      </c>
      <c r="J45" s="5" t="s">
        <v>5</v>
      </c>
      <c r="K45" s="6">
        <v>1</v>
      </c>
    </row>
    <row r="46" spans="1:11" x14ac:dyDescent="0.4">
      <c r="A46" s="1" t="s">
        <v>41</v>
      </c>
      <c r="B46" s="2">
        <v>22</v>
      </c>
      <c r="C46" s="2">
        <v>32025</v>
      </c>
      <c r="D46" s="2">
        <v>2</v>
      </c>
      <c r="E46" s="2" t="s">
        <v>67</v>
      </c>
      <c r="F46" s="2" t="s">
        <v>68</v>
      </c>
      <c r="G46" s="2">
        <v>58178</v>
      </c>
      <c r="H46" s="2" t="s">
        <v>75</v>
      </c>
      <c r="I46" s="2" t="s">
        <v>76</v>
      </c>
      <c r="J46" s="2" t="s">
        <v>5</v>
      </c>
      <c r="K46" s="3">
        <v>1</v>
      </c>
    </row>
    <row r="47" spans="1:11" x14ac:dyDescent="0.4">
      <c r="A47" s="4" t="s">
        <v>41</v>
      </c>
      <c r="B47" s="5">
        <v>22</v>
      </c>
      <c r="C47" s="5">
        <v>32025</v>
      </c>
      <c r="D47" s="5">
        <v>2</v>
      </c>
      <c r="E47" s="5" t="s">
        <v>67</v>
      </c>
      <c r="F47" s="5" t="s">
        <v>68</v>
      </c>
      <c r="G47" s="5">
        <v>58179</v>
      </c>
      <c r="H47" s="5" t="s">
        <v>20</v>
      </c>
      <c r="I47" s="5" t="s">
        <v>21</v>
      </c>
      <c r="J47" s="5" t="s">
        <v>5</v>
      </c>
      <c r="K47" s="6">
        <v>3</v>
      </c>
    </row>
    <row r="48" spans="1:11" x14ac:dyDescent="0.4">
      <c r="A48" s="1" t="s">
        <v>41</v>
      </c>
      <c r="B48" s="2">
        <v>22</v>
      </c>
      <c r="C48" s="2">
        <v>32025</v>
      </c>
      <c r="D48" s="2">
        <v>2</v>
      </c>
      <c r="E48" s="2" t="s">
        <v>67</v>
      </c>
      <c r="F48" s="2" t="s">
        <v>68</v>
      </c>
      <c r="G48" s="2">
        <v>58180</v>
      </c>
      <c r="H48" s="2" t="s">
        <v>22</v>
      </c>
      <c r="I48" s="2" t="s">
        <v>23</v>
      </c>
      <c r="J48" s="2" t="s">
        <v>5</v>
      </c>
      <c r="K48" s="3">
        <v>3</v>
      </c>
    </row>
    <row r="49" spans="1:11" x14ac:dyDescent="0.4">
      <c r="A49" s="4" t="s">
        <v>41</v>
      </c>
      <c r="B49" s="5">
        <v>22</v>
      </c>
      <c r="C49" s="5">
        <v>32025</v>
      </c>
      <c r="D49" s="5">
        <v>2</v>
      </c>
      <c r="E49" s="5" t="s">
        <v>67</v>
      </c>
      <c r="F49" s="5" t="s">
        <v>68</v>
      </c>
      <c r="G49" s="5">
        <v>62314</v>
      </c>
      <c r="H49" s="5" t="s">
        <v>77</v>
      </c>
      <c r="I49" s="5" t="s">
        <v>78</v>
      </c>
      <c r="J49" s="5" t="s">
        <v>14</v>
      </c>
      <c r="K49" s="6">
        <v>0</v>
      </c>
    </row>
    <row r="50" spans="1:11" x14ac:dyDescent="0.4">
      <c r="A50" s="1" t="s">
        <v>79</v>
      </c>
      <c r="B50" s="2">
        <v>20</v>
      </c>
      <c r="C50" s="2">
        <v>32025</v>
      </c>
      <c r="D50" s="2">
        <v>1</v>
      </c>
      <c r="E50" s="2" t="s">
        <v>80</v>
      </c>
      <c r="F50" s="2" t="s">
        <v>81</v>
      </c>
      <c r="G50" s="2">
        <v>62953</v>
      </c>
      <c r="H50" s="2" t="s">
        <v>32</v>
      </c>
      <c r="I50" s="2" t="s">
        <v>33</v>
      </c>
      <c r="J50" s="2" t="s">
        <v>14</v>
      </c>
      <c r="K50" s="3">
        <v>0</v>
      </c>
    </row>
    <row r="51" spans="1:11" x14ac:dyDescent="0.4">
      <c r="A51" s="4" t="s">
        <v>79</v>
      </c>
      <c r="B51" s="5">
        <v>20</v>
      </c>
      <c r="C51" s="5">
        <v>32025</v>
      </c>
      <c r="D51" s="5">
        <v>1</v>
      </c>
      <c r="E51" s="5" t="s">
        <v>80</v>
      </c>
      <c r="F51" s="5" t="s">
        <v>81</v>
      </c>
      <c r="G51" s="5">
        <v>62954</v>
      </c>
      <c r="H51" s="5" t="s">
        <v>34</v>
      </c>
      <c r="I51" s="5" t="s">
        <v>35</v>
      </c>
      <c r="J51" s="5" t="s">
        <v>14</v>
      </c>
      <c r="K51" s="6">
        <v>0</v>
      </c>
    </row>
    <row r="52" spans="1:11" x14ac:dyDescent="0.4">
      <c r="A52" s="1" t="s">
        <v>79</v>
      </c>
      <c r="B52" s="2">
        <v>20</v>
      </c>
      <c r="C52" s="2">
        <v>32025</v>
      </c>
      <c r="D52" s="2">
        <v>1</v>
      </c>
      <c r="E52" s="2" t="s">
        <v>80</v>
      </c>
      <c r="F52" s="2" t="s">
        <v>81</v>
      </c>
      <c r="G52" s="2">
        <v>62955</v>
      </c>
      <c r="H52" s="2" t="s">
        <v>48</v>
      </c>
      <c r="I52" s="2" t="s">
        <v>49</v>
      </c>
      <c r="J52" s="2" t="s">
        <v>5</v>
      </c>
      <c r="K52" s="3">
        <v>1</v>
      </c>
    </row>
    <row r="53" spans="1:11" x14ac:dyDescent="0.4">
      <c r="A53" s="4" t="s">
        <v>79</v>
      </c>
      <c r="B53" s="5">
        <v>20</v>
      </c>
      <c r="C53" s="5">
        <v>32025</v>
      </c>
      <c r="D53" s="5">
        <v>1</v>
      </c>
      <c r="E53" s="5" t="s">
        <v>80</v>
      </c>
      <c r="F53" s="5" t="s">
        <v>81</v>
      </c>
      <c r="G53" s="5">
        <v>62956</v>
      </c>
      <c r="H53" s="5" t="s">
        <v>15</v>
      </c>
      <c r="I53" s="5" t="s">
        <v>15</v>
      </c>
      <c r="J53" s="5" t="s">
        <v>5</v>
      </c>
      <c r="K53" s="6">
        <v>1</v>
      </c>
    </row>
    <row r="54" spans="1:11" x14ac:dyDescent="0.4">
      <c r="A54" s="1" t="s">
        <v>79</v>
      </c>
      <c r="B54" s="2">
        <v>20</v>
      </c>
      <c r="C54" s="2">
        <v>32025</v>
      </c>
      <c r="D54" s="2">
        <v>1</v>
      </c>
      <c r="E54" s="2" t="s">
        <v>80</v>
      </c>
      <c r="F54" s="2" t="s">
        <v>81</v>
      </c>
      <c r="G54" s="2">
        <v>62957</v>
      </c>
      <c r="H54" s="2" t="s">
        <v>82</v>
      </c>
      <c r="I54" s="2" t="s">
        <v>83</v>
      </c>
      <c r="J54" s="2" t="s">
        <v>5</v>
      </c>
      <c r="K54" s="3">
        <v>3</v>
      </c>
    </row>
    <row r="55" spans="1:11" x14ac:dyDescent="0.4">
      <c r="A55" s="4" t="s">
        <v>79</v>
      </c>
      <c r="B55" s="5">
        <v>20</v>
      </c>
      <c r="C55" s="5">
        <v>32025</v>
      </c>
      <c r="D55" s="5">
        <v>1</v>
      </c>
      <c r="E55" s="5" t="s">
        <v>80</v>
      </c>
      <c r="F55" s="5" t="s">
        <v>81</v>
      </c>
      <c r="G55" s="5">
        <v>62958</v>
      </c>
      <c r="H55" s="5" t="s">
        <v>22</v>
      </c>
      <c r="I55" s="5" t="s">
        <v>23</v>
      </c>
      <c r="J55" s="5" t="s">
        <v>5</v>
      </c>
      <c r="K55" s="6">
        <v>3</v>
      </c>
    </row>
    <row r="56" spans="1:11" x14ac:dyDescent="0.4">
      <c r="A56" s="1" t="s">
        <v>79</v>
      </c>
      <c r="B56" s="2">
        <v>20</v>
      </c>
      <c r="C56" s="2">
        <v>32025</v>
      </c>
      <c r="D56" s="2">
        <v>1</v>
      </c>
      <c r="E56" s="2" t="s">
        <v>80</v>
      </c>
      <c r="F56" s="2" t="s">
        <v>81</v>
      </c>
      <c r="G56" s="2">
        <v>62959</v>
      </c>
      <c r="H56" s="2" t="s">
        <v>73</v>
      </c>
      <c r="I56" s="2" t="s">
        <v>74</v>
      </c>
      <c r="J56" s="2" t="s">
        <v>5</v>
      </c>
      <c r="K56" s="3">
        <v>1</v>
      </c>
    </row>
    <row r="57" spans="1:11" x14ac:dyDescent="0.4">
      <c r="A57" s="4" t="s">
        <v>79</v>
      </c>
      <c r="B57" s="5">
        <v>20</v>
      </c>
      <c r="C57" s="5">
        <v>32025</v>
      </c>
      <c r="D57" s="5">
        <v>1</v>
      </c>
      <c r="E57" s="5" t="s">
        <v>80</v>
      </c>
      <c r="F57" s="5" t="s">
        <v>81</v>
      </c>
      <c r="G57" s="5">
        <v>62960</v>
      </c>
      <c r="H57" s="5" t="s">
        <v>75</v>
      </c>
      <c r="I57" s="5" t="s">
        <v>76</v>
      </c>
      <c r="J57" s="5" t="s">
        <v>5</v>
      </c>
      <c r="K57" s="6">
        <v>1</v>
      </c>
    </row>
    <row r="58" spans="1:11" x14ac:dyDescent="0.4">
      <c r="A58" s="1" t="s">
        <v>79</v>
      </c>
      <c r="B58" s="2">
        <v>20</v>
      </c>
      <c r="C58" s="2">
        <v>32025</v>
      </c>
      <c r="D58" s="2">
        <v>1</v>
      </c>
      <c r="E58" s="2" t="s">
        <v>80</v>
      </c>
      <c r="F58" s="2" t="s">
        <v>81</v>
      </c>
      <c r="G58" s="2">
        <v>62963</v>
      </c>
      <c r="H58" s="2" t="s">
        <v>73</v>
      </c>
      <c r="I58" s="2" t="s">
        <v>74</v>
      </c>
      <c r="J58" s="2" t="s">
        <v>5</v>
      </c>
      <c r="K58" s="3">
        <v>11</v>
      </c>
    </row>
    <row r="59" spans="1:11" x14ac:dyDescent="0.4">
      <c r="A59" s="4" t="s">
        <v>79</v>
      </c>
      <c r="B59" s="5">
        <v>20</v>
      </c>
      <c r="C59" s="5">
        <v>32025</v>
      </c>
      <c r="D59" s="5">
        <v>1</v>
      </c>
      <c r="E59" s="5" t="s">
        <v>80</v>
      </c>
      <c r="F59" s="5" t="s">
        <v>81</v>
      </c>
      <c r="G59" s="5">
        <v>62964</v>
      </c>
      <c r="H59" s="5" t="s">
        <v>84</v>
      </c>
      <c r="I59" s="5" t="s">
        <v>85</v>
      </c>
      <c r="J59" s="5" t="s">
        <v>5</v>
      </c>
      <c r="K59" s="6">
        <v>11</v>
      </c>
    </row>
    <row r="60" spans="1:11" x14ac:dyDescent="0.4">
      <c r="A60" s="1" t="s">
        <v>79</v>
      </c>
      <c r="B60" s="2">
        <v>20</v>
      </c>
      <c r="C60" s="2">
        <v>32025</v>
      </c>
      <c r="D60" s="2">
        <v>1</v>
      </c>
      <c r="E60" s="2" t="s">
        <v>80</v>
      </c>
      <c r="F60" s="2" t="s">
        <v>81</v>
      </c>
      <c r="G60" s="2">
        <v>93124</v>
      </c>
      <c r="H60" s="2" t="s">
        <v>24</v>
      </c>
      <c r="I60" s="2" t="s">
        <v>25</v>
      </c>
      <c r="J60" s="2" t="s">
        <v>5</v>
      </c>
      <c r="K60" s="3">
        <v>6</v>
      </c>
    </row>
    <row r="61" spans="1:11" x14ac:dyDescent="0.4">
      <c r="A61" s="4" t="s">
        <v>79</v>
      </c>
      <c r="B61" s="5">
        <v>20</v>
      </c>
      <c r="C61" s="5">
        <v>32025</v>
      </c>
      <c r="D61" s="5">
        <v>1</v>
      </c>
      <c r="E61" s="5" t="s">
        <v>80</v>
      </c>
      <c r="F61" s="5" t="s">
        <v>81</v>
      </c>
      <c r="G61" s="5">
        <v>93125</v>
      </c>
      <c r="H61" s="5" t="s">
        <v>26</v>
      </c>
      <c r="I61" s="5" t="s">
        <v>27</v>
      </c>
      <c r="J61" s="5" t="s">
        <v>5</v>
      </c>
      <c r="K61" s="6">
        <v>6</v>
      </c>
    </row>
    <row r="62" spans="1:11" x14ac:dyDescent="0.4">
      <c r="A62" s="1" t="s">
        <v>79</v>
      </c>
      <c r="B62" s="2">
        <v>20</v>
      </c>
      <c r="C62" s="2">
        <v>32025</v>
      </c>
      <c r="D62" s="2">
        <v>1</v>
      </c>
      <c r="E62" s="2" t="s">
        <v>80</v>
      </c>
      <c r="F62" s="2" t="s">
        <v>81</v>
      </c>
      <c r="G62" s="2">
        <v>93126</v>
      </c>
      <c r="H62" s="2" t="s">
        <v>28</v>
      </c>
      <c r="I62" s="2" t="s">
        <v>29</v>
      </c>
      <c r="J62" s="2" t="s">
        <v>5</v>
      </c>
      <c r="K62" s="3">
        <v>6</v>
      </c>
    </row>
    <row r="63" spans="1:11" x14ac:dyDescent="0.4">
      <c r="A63" s="4" t="s">
        <v>86</v>
      </c>
      <c r="B63" s="5">
        <v>20</v>
      </c>
      <c r="C63" s="5">
        <v>32025</v>
      </c>
      <c r="D63" s="5">
        <v>1</v>
      </c>
      <c r="E63" s="5" t="s">
        <v>87</v>
      </c>
      <c r="F63" s="5" t="s">
        <v>88</v>
      </c>
      <c r="G63" s="5">
        <v>85955</v>
      </c>
      <c r="H63" s="5" t="s">
        <v>89</v>
      </c>
      <c r="I63" s="5" t="s">
        <v>90</v>
      </c>
      <c r="J63" s="5" t="s">
        <v>14</v>
      </c>
      <c r="K63" s="6">
        <v>0</v>
      </c>
    </row>
    <row r="64" spans="1:11" x14ac:dyDescent="0.4">
      <c r="A64" s="1" t="s">
        <v>86</v>
      </c>
      <c r="B64" s="2">
        <v>20</v>
      </c>
      <c r="C64" s="2">
        <v>32025</v>
      </c>
      <c r="D64" s="2">
        <v>1</v>
      </c>
      <c r="E64" s="2" t="s">
        <v>87</v>
      </c>
      <c r="F64" s="2" t="s">
        <v>88</v>
      </c>
      <c r="G64" s="2">
        <v>85956</v>
      </c>
      <c r="H64" s="2" t="s">
        <v>91</v>
      </c>
      <c r="I64" s="2" t="s">
        <v>92</v>
      </c>
      <c r="J64" s="2" t="s">
        <v>14</v>
      </c>
      <c r="K64" s="3">
        <v>0</v>
      </c>
    </row>
    <row r="65" spans="1:11" x14ac:dyDescent="0.4">
      <c r="A65" s="4" t="s">
        <v>86</v>
      </c>
      <c r="B65" s="5">
        <v>20</v>
      </c>
      <c r="C65" s="5">
        <v>32025</v>
      </c>
      <c r="D65" s="5">
        <v>1</v>
      </c>
      <c r="E65" s="5" t="s">
        <v>87</v>
      </c>
      <c r="F65" s="5" t="s">
        <v>88</v>
      </c>
      <c r="G65" s="5">
        <v>85957</v>
      </c>
      <c r="H65" s="5" t="s">
        <v>93</v>
      </c>
      <c r="I65" s="5" t="s">
        <v>94</v>
      </c>
      <c r="J65" s="5" t="s">
        <v>14</v>
      </c>
      <c r="K65" s="6">
        <v>0</v>
      </c>
    </row>
    <row r="66" spans="1:11" x14ac:dyDescent="0.4">
      <c r="A66" s="1" t="s">
        <v>86</v>
      </c>
      <c r="B66" s="2">
        <v>20</v>
      </c>
      <c r="C66" s="2">
        <v>32025</v>
      </c>
      <c r="D66" s="2">
        <v>1</v>
      </c>
      <c r="E66" s="2" t="s">
        <v>87</v>
      </c>
      <c r="F66" s="2" t="s">
        <v>88</v>
      </c>
      <c r="G66" s="2">
        <v>85962</v>
      </c>
      <c r="H66" s="2" t="s">
        <v>73</v>
      </c>
      <c r="I66" s="2" t="s">
        <v>74</v>
      </c>
      <c r="J66" s="2" t="s">
        <v>5</v>
      </c>
      <c r="K66" s="3">
        <v>12</v>
      </c>
    </row>
    <row r="67" spans="1:11" x14ac:dyDescent="0.4">
      <c r="A67" s="4" t="s">
        <v>86</v>
      </c>
      <c r="B67" s="5">
        <v>20</v>
      </c>
      <c r="C67" s="5">
        <v>32025</v>
      </c>
      <c r="D67" s="5">
        <v>1</v>
      </c>
      <c r="E67" s="5" t="s">
        <v>87</v>
      </c>
      <c r="F67" s="5" t="s">
        <v>88</v>
      </c>
      <c r="G67" s="5">
        <v>85963</v>
      </c>
      <c r="H67" s="5" t="s">
        <v>95</v>
      </c>
      <c r="I67" s="5" t="s">
        <v>95</v>
      </c>
      <c r="J67" s="5" t="s">
        <v>5</v>
      </c>
      <c r="K67" s="6">
        <v>12</v>
      </c>
    </row>
    <row r="68" spans="1:11" x14ac:dyDescent="0.4">
      <c r="A68" s="1" t="s">
        <v>86</v>
      </c>
      <c r="B68" s="2">
        <v>20</v>
      </c>
      <c r="C68" s="2">
        <v>32025</v>
      </c>
      <c r="D68" s="2">
        <v>1</v>
      </c>
      <c r="E68" s="2" t="s">
        <v>87</v>
      </c>
      <c r="F68" s="2" t="s">
        <v>88</v>
      </c>
      <c r="G68" s="2">
        <v>85958</v>
      </c>
      <c r="H68" s="2" t="s">
        <v>48</v>
      </c>
      <c r="I68" s="2" t="s">
        <v>49</v>
      </c>
      <c r="J68" s="2" t="s">
        <v>5</v>
      </c>
      <c r="K68" s="3">
        <v>1</v>
      </c>
    </row>
    <row r="69" spans="1:11" x14ac:dyDescent="0.4">
      <c r="A69" s="4" t="s">
        <v>86</v>
      </c>
      <c r="B69" s="5">
        <v>20</v>
      </c>
      <c r="C69" s="5">
        <v>32025</v>
      </c>
      <c r="D69" s="5">
        <v>1</v>
      </c>
      <c r="E69" s="5" t="s">
        <v>87</v>
      </c>
      <c r="F69" s="5" t="s">
        <v>88</v>
      </c>
      <c r="G69" s="5">
        <v>85959</v>
      </c>
      <c r="H69" s="5" t="s">
        <v>96</v>
      </c>
      <c r="I69" s="5" t="s">
        <v>96</v>
      </c>
      <c r="J69" s="5" t="s">
        <v>5</v>
      </c>
      <c r="K69" s="6">
        <v>1</v>
      </c>
    </row>
    <row r="70" spans="1:11" x14ac:dyDescent="0.4">
      <c r="A70" s="1" t="s">
        <v>86</v>
      </c>
      <c r="B70" s="2">
        <v>20</v>
      </c>
      <c r="C70" s="2">
        <v>32025</v>
      </c>
      <c r="D70" s="2">
        <v>1</v>
      </c>
      <c r="E70" s="2" t="s">
        <v>87</v>
      </c>
      <c r="F70" s="2" t="s">
        <v>88</v>
      </c>
      <c r="G70" s="2">
        <v>85960</v>
      </c>
      <c r="H70" s="2" t="s">
        <v>97</v>
      </c>
      <c r="I70" s="2" t="s">
        <v>98</v>
      </c>
      <c r="J70" s="2" t="s">
        <v>5</v>
      </c>
      <c r="K70" s="3">
        <v>3</v>
      </c>
    </row>
    <row r="71" spans="1:11" x14ac:dyDescent="0.4">
      <c r="A71" s="4" t="s">
        <v>86</v>
      </c>
      <c r="B71" s="5">
        <v>20</v>
      </c>
      <c r="C71" s="5">
        <v>32025</v>
      </c>
      <c r="D71" s="5">
        <v>1</v>
      </c>
      <c r="E71" s="5" t="s">
        <v>87</v>
      </c>
      <c r="F71" s="5" t="s">
        <v>88</v>
      </c>
      <c r="G71" s="5">
        <v>85961</v>
      </c>
      <c r="H71" s="5" t="s">
        <v>22</v>
      </c>
      <c r="I71" s="5" t="s">
        <v>22</v>
      </c>
      <c r="J71" s="5" t="s">
        <v>5</v>
      </c>
      <c r="K71" s="6">
        <v>3</v>
      </c>
    </row>
    <row r="72" spans="1:11" x14ac:dyDescent="0.4">
      <c r="A72" s="1" t="s">
        <v>86</v>
      </c>
      <c r="B72" s="2">
        <v>20</v>
      </c>
      <c r="C72" s="2">
        <v>32025</v>
      </c>
      <c r="D72" s="2">
        <v>2</v>
      </c>
      <c r="E72" s="2" t="s">
        <v>99</v>
      </c>
      <c r="F72" s="2" t="s">
        <v>88</v>
      </c>
      <c r="G72" s="2">
        <v>85964</v>
      </c>
      <c r="H72" s="2" t="s">
        <v>89</v>
      </c>
      <c r="I72" s="2" t="s">
        <v>90</v>
      </c>
      <c r="J72" s="2" t="s">
        <v>14</v>
      </c>
      <c r="K72" s="3">
        <v>0</v>
      </c>
    </row>
    <row r="73" spans="1:11" x14ac:dyDescent="0.4">
      <c r="A73" s="4" t="s">
        <v>86</v>
      </c>
      <c r="B73" s="5">
        <v>20</v>
      </c>
      <c r="C73" s="5">
        <v>32025</v>
      </c>
      <c r="D73" s="5">
        <v>2</v>
      </c>
      <c r="E73" s="5" t="s">
        <v>99</v>
      </c>
      <c r="F73" s="5" t="s">
        <v>88</v>
      </c>
      <c r="G73" s="5">
        <v>85965</v>
      </c>
      <c r="H73" s="5" t="s">
        <v>100</v>
      </c>
      <c r="I73" s="5" t="s">
        <v>101</v>
      </c>
      <c r="J73" s="5" t="s">
        <v>14</v>
      </c>
      <c r="K73" s="6">
        <v>0</v>
      </c>
    </row>
    <row r="74" spans="1:11" x14ac:dyDescent="0.4">
      <c r="A74" s="1" t="s">
        <v>86</v>
      </c>
      <c r="B74" s="2">
        <v>20</v>
      </c>
      <c r="C74" s="2">
        <v>32025</v>
      </c>
      <c r="D74" s="2">
        <v>2</v>
      </c>
      <c r="E74" s="2" t="s">
        <v>99</v>
      </c>
      <c r="F74" s="2" t="s">
        <v>88</v>
      </c>
      <c r="G74" s="2">
        <v>85966</v>
      </c>
      <c r="H74" s="2" t="s">
        <v>69</v>
      </c>
      <c r="I74" s="2" t="s">
        <v>70</v>
      </c>
      <c r="J74" s="2" t="s">
        <v>14</v>
      </c>
      <c r="K74" s="3">
        <v>0</v>
      </c>
    </row>
    <row r="75" spans="1:11" x14ac:dyDescent="0.4">
      <c r="A75" s="4" t="s">
        <v>86</v>
      </c>
      <c r="B75" s="5">
        <v>20</v>
      </c>
      <c r="C75" s="5">
        <v>32025</v>
      </c>
      <c r="D75" s="5">
        <v>2</v>
      </c>
      <c r="E75" s="5" t="s">
        <v>99</v>
      </c>
      <c r="F75" s="5" t="s">
        <v>88</v>
      </c>
      <c r="G75" s="5">
        <v>85967</v>
      </c>
      <c r="H75" s="5" t="s">
        <v>102</v>
      </c>
      <c r="I75" s="5" t="s">
        <v>103</v>
      </c>
      <c r="J75" s="5" t="s">
        <v>14</v>
      </c>
      <c r="K75" s="6">
        <v>0</v>
      </c>
    </row>
    <row r="76" spans="1:11" x14ac:dyDescent="0.4">
      <c r="A76" s="1" t="s">
        <v>86</v>
      </c>
      <c r="B76" s="2">
        <v>20</v>
      </c>
      <c r="C76" s="2">
        <v>32025</v>
      </c>
      <c r="D76" s="2">
        <v>2</v>
      </c>
      <c r="E76" s="2" t="s">
        <v>99</v>
      </c>
      <c r="F76" s="2" t="s">
        <v>88</v>
      </c>
      <c r="G76" s="2">
        <v>85968</v>
      </c>
      <c r="H76" s="2" t="s">
        <v>104</v>
      </c>
      <c r="I76" s="2" t="s">
        <v>105</v>
      </c>
      <c r="J76" s="2" t="s">
        <v>14</v>
      </c>
      <c r="K76" s="3">
        <v>0</v>
      </c>
    </row>
    <row r="77" spans="1:11" x14ac:dyDescent="0.4">
      <c r="A77" s="4" t="s">
        <v>86</v>
      </c>
      <c r="B77" s="5">
        <v>20</v>
      </c>
      <c r="C77" s="5">
        <v>32025</v>
      </c>
      <c r="D77" s="5">
        <v>2</v>
      </c>
      <c r="E77" s="5" t="s">
        <v>99</v>
      </c>
      <c r="F77" s="5" t="s">
        <v>88</v>
      </c>
      <c r="G77" s="5">
        <v>85969</v>
      </c>
      <c r="H77" s="5" t="s">
        <v>48</v>
      </c>
      <c r="I77" s="5" t="s">
        <v>49</v>
      </c>
      <c r="J77" s="5" t="s">
        <v>5</v>
      </c>
      <c r="K77" s="6">
        <v>1</v>
      </c>
    </row>
    <row r="78" spans="1:11" x14ac:dyDescent="0.4">
      <c r="A78" s="1" t="s">
        <v>86</v>
      </c>
      <c r="B78" s="2">
        <v>20</v>
      </c>
      <c r="C78" s="2">
        <v>32025</v>
      </c>
      <c r="D78" s="2">
        <v>2</v>
      </c>
      <c r="E78" s="2" t="s">
        <v>99</v>
      </c>
      <c r="F78" s="2" t="s">
        <v>88</v>
      </c>
      <c r="G78" s="2">
        <v>85970</v>
      </c>
      <c r="H78" s="2" t="s">
        <v>96</v>
      </c>
      <c r="I78" s="2" t="s">
        <v>96</v>
      </c>
      <c r="J78" s="2" t="s">
        <v>5</v>
      </c>
      <c r="K78" s="3">
        <v>1</v>
      </c>
    </row>
    <row r="79" spans="1:11" x14ac:dyDescent="0.4">
      <c r="A79" s="4" t="s">
        <v>86</v>
      </c>
      <c r="B79" s="5">
        <v>20</v>
      </c>
      <c r="C79" s="5">
        <v>32025</v>
      </c>
      <c r="D79" s="5">
        <v>2</v>
      </c>
      <c r="E79" s="5" t="s">
        <v>99</v>
      </c>
      <c r="F79" s="5" t="s">
        <v>88</v>
      </c>
      <c r="G79" s="5">
        <v>85971</v>
      </c>
      <c r="H79" s="5" t="s">
        <v>97</v>
      </c>
      <c r="I79" s="5" t="s">
        <v>98</v>
      </c>
      <c r="J79" s="5" t="s">
        <v>5</v>
      </c>
      <c r="K79" s="6">
        <v>3</v>
      </c>
    </row>
    <row r="80" spans="1:11" x14ac:dyDescent="0.4">
      <c r="A80" s="1" t="s">
        <v>86</v>
      </c>
      <c r="B80" s="2">
        <v>20</v>
      </c>
      <c r="C80" s="2">
        <v>32025</v>
      </c>
      <c r="D80" s="2">
        <v>2</v>
      </c>
      <c r="E80" s="2" t="s">
        <v>99</v>
      </c>
      <c r="F80" s="2" t="s">
        <v>88</v>
      </c>
      <c r="G80" s="2">
        <v>85972</v>
      </c>
      <c r="H80" s="2" t="s">
        <v>22</v>
      </c>
      <c r="I80" s="2" t="s">
        <v>22</v>
      </c>
      <c r="J80" s="2" t="s">
        <v>5</v>
      </c>
      <c r="K80" s="3">
        <v>3</v>
      </c>
    </row>
    <row r="81" spans="1:11" x14ac:dyDescent="0.4">
      <c r="A81" s="4" t="s">
        <v>86</v>
      </c>
      <c r="B81" s="5">
        <v>20</v>
      </c>
      <c r="C81" s="5">
        <v>32025</v>
      </c>
      <c r="D81" s="5">
        <v>2</v>
      </c>
      <c r="E81" s="5" t="s">
        <v>99</v>
      </c>
      <c r="F81" s="5" t="s">
        <v>88</v>
      </c>
      <c r="G81" s="5">
        <v>85973</v>
      </c>
      <c r="H81" s="5" t="s">
        <v>73</v>
      </c>
      <c r="I81" s="5" t="s">
        <v>74</v>
      </c>
      <c r="J81" s="5" t="s">
        <v>5</v>
      </c>
      <c r="K81" s="6">
        <v>11</v>
      </c>
    </row>
    <row r="82" spans="1:11" x14ac:dyDescent="0.4">
      <c r="A82" s="1" t="s">
        <v>86</v>
      </c>
      <c r="B82" s="2">
        <v>20</v>
      </c>
      <c r="C82" s="2">
        <v>32025</v>
      </c>
      <c r="D82" s="2">
        <v>2</v>
      </c>
      <c r="E82" s="2" t="s">
        <v>99</v>
      </c>
      <c r="F82" s="2" t="s">
        <v>88</v>
      </c>
      <c r="G82" s="2">
        <v>85974</v>
      </c>
      <c r="H82" s="2" t="s">
        <v>106</v>
      </c>
      <c r="I82" s="2" t="s">
        <v>106</v>
      </c>
      <c r="J82" s="2" t="s">
        <v>5</v>
      </c>
      <c r="K82" s="3">
        <v>11</v>
      </c>
    </row>
    <row r="83" spans="1:11" x14ac:dyDescent="0.4">
      <c r="A83" s="4" t="s">
        <v>86</v>
      </c>
      <c r="B83" s="5">
        <v>20</v>
      </c>
      <c r="C83" s="5">
        <v>32025</v>
      </c>
      <c r="D83" s="5">
        <v>2</v>
      </c>
      <c r="E83" s="5" t="s">
        <v>99</v>
      </c>
      <c r="F83" s="5" t="s">
        <v>88</v>
      </c>
      <c r="G83" s="5">
        <v>85975</v>
      </c>
      <c r="H83" s="5" t="s">
        <v>73</v>
      </c>
      <c r="I83" s="5" t="s">
        <v>74</v>
      </c>
      <c r="J83" s="5" t="s">
        <v>5</v>
      </c>
      <c r="K83" s="6">
        <v>12</v>
      </c>
    </row>
    <row r="84" spans="1:11" x14ac:dyDescent="0.4">
      <c r="A84" s="1" t="s">
        <v>86</v>
      </c>
      <c r="B84" s="2">
        <v>20</v>
      </c>
      <c r="C84" s="2">
        <v>32025</v>
      </c>
      <c r="D84" s="2">
        <v>2</v>
      </c>
      <c r="E84" s="2" t="s">
        <v>99</v>
      </c>
      <c r="F84" s="2" t="s">
        <v>88</v>
      </c>
      <c r="G84" s="2">
        <v>85976</v>
      </c>
      <c r="H84" s="2" t="s">
        <v>107</v>
      </c>
      <c r="I84" s="2" t="s">
        <v>107</v>
      </c>
      <c r="J84" s="2" t="s">
        <v>5</v>
      </c>
      <c r="K84" s="3">
        <v>12</v>
      </c>
    </row>
    <row r="85" spans="1:11" x14ac:dyDescent="0.4">
      <c r="A85" s="4" t="s">
        <v>108</v>
      </c>
      <c r="B85" s="5">
        <v>20</v>
      </c>
      <c r="C85" s="5">
        <v>32025</v>
      </c>
      <c r="D85" s="5">
        <v>1</v>
      </c>
      <c r="E85" s="5" t="s">
        <v>109</v>
      </c>
      <c r="F85" s="5" t="s">
        <v>110</v>
      </c>
      <c r="G85" s="5">
        <v>86554</v>
      </c>
      <c r="H85" s="5" t="s">
        <v>48</v>
      </c>
      <c r="I85" s="5" t="s">
        <v>49</v>
      </c>
      <c r="J85" s="5" t="s">
        <v>5</v>
      </c>
      <c r="K85" s="6">
        <v>1</v>
      </c>
    </row>
    <row r="86" spans="1:11" x14ac:dyDescent="0.4">
      <c r="A86" s="1" t="s">
        <v>108</v>
      </c>
      <c r="B86" s="2">
        <v>20</v>
      </c>
      <c r="C86" s="2">
        <v>32025</v>
      </c>
      <c r="D86" s="2">
        <v>1</v>
      </c>
      <c r="E86" s="2" t="s">
        <v>109</v>
      </c>
      <c r="F86" s="2" t="s">
        <v>110</v>
      </c>
      <c r="G86" s="2">
        <v>86555</v>
      </c>
      <c r="H86" s="2" t="s">
        <v>15</v>
      </c>
      <c r="I86" s="2" t="s">
        <v>15</v>
      </c>
      <c r="J86" s="2" t="s">
        <v>5</v>
      </c>
      <c r="K86" s="3">
        <v>1</v>
      </c>
    </row>
    <row r="87" spans="1:11" x14ac:dyDescent="0.4">
      <c r="A87" s="4" t="s">
        <v>108</v>
      </c>
      <c r="B87" s="5">
        <v>20</v>
      </c>
      <c r="C87" s="5">
        <v>32025</v>
      </c>
      <c r="D87" s="5">
        <v>1</v>
      </c>
      <c r="E87" s="5" t="s">
        <v>109</v>
      </c>
      <c r="F87" s="5" t="s">
        <v>110</v>
      </c>
      <c r="G87" s="5">
        <v>86556</v>
      </c>
      <c r="H87" s="5" t="s">
        <v>82</v>
      </c>
      <c r="I87" s="5" t="s">
        <v>83</v>
      </c>
      <c r="J87" s="5" t="s">
        <v>5</v>
      </c>
      <c r="K87" s="6">
        <v>2</v>
      </c>
    </row>
    <row r="88" spans="1:11" x14ac:dyDescent="0.4">
      <c r="A88" s="1" t="s">
        <v>108</v>
      </c>
      <c r="B88" s="2">
        <v>20</v>
      </c>
      <c r="C88" s="2">
        <v>32025</v>
      </c>
      <c r="D88" s="2">
        <v>1</v>
      </c>
      <c r="E88" s="2" t="s">
        <v>109</v>
      </c>
      <c r="F88" s="2" t="s">
        <v>110</v>
      </c>
      <c r="G88" s="2">
        <v>86557</v>
      </c>
      <c r="H88" s="2" t="s">
        <v>22</v>
      </c>
      <c r="I88" s="2" t="s">
        <v>22</v>
      </c>
      <c r="J88" s="2" t="s">
        <v>5</v>
      </c>
      <c r="K88" s="3">
        <v>2</v>
      </c>
    </row>
    <row r="89" spans="1:11" x14ac:dyDescent="0.4">
      <c r="A89" s="4" t="s">
        <v>108</v>
      </c>
      <c r="B89" s="5">
        <v>20</v>
      </c>
      <c r="C89" s="5">
        <v>32025</v>
      </c>
      <c r="D89" s="5">
        <v>1</v>
      </c>
      <c r="E89" s="5" t="s">
        <v>109</v>
      </c>
      <c r="F89" s="5" t="s">
        <v>110</v>
      </c>
      <c r="G89" s="5">
        <v>86558</v>
      </c>
      <c r="H89" s="5" t="s">
        <v>73</v>
      </c>
      <c r="I89" s="5" t="s">
        <v>74</v>
      </c>
      <c r="J89" s="5" t="s">
        <v>5</v>
      </c>
      <c r="K89" s="6">
        <v>11</v>
      </c>
    </row>
    <row r="90" spans="1:11" x14ac:dyDescent="0.4">
      <c r="A90" s="1" t="s">
        <v>108</v>
      </c>
      <c r="B90" s="2">
        <v>20</v>
      </c>
      <c r="C90" s="2">
        <v>32025</v>
      </c>
      <c r="D90" s="2">
        <v>1</v>
      </c>
      <c r="E90" s="2" t="s">
        <v>109</v>
      </c>
      <c r="F90" s="2" t="s">
        <v>110</v>
      </c>
      <c r="G90" s="2">
        <v>86559</v>
      </c>
      <c r="H90" s="2" t="s">
        <v>111</v>
      </c>
      <c r="I90" s="2" t="s">
        <v>111</v>
      </c>
      <c r="J90" s="2" t="s">
        <v>5</v>
      </c>
      <c r="K90" s="3">
        <v>11</v>
      </c>
    </row>
    <row r="91" spans="1:11" x14ac:dyDescent="0.4">
      <c r="A91" s="4" t="s">
        <v>108</v>
      </c>
      <c r="B91" s="5">
        <v>20</v>
      </c>
      <c r="C91" s="5">
        <v>32025</v>
      </c>
      <c r="D91" s="5">
        <v>2</v>
      </c>
      <c r="E91" s="5" t="s">
        <v>112</v>
      </c>
      <c r="F91" s="5" t="s">
        <v>113</v>
      </c>
      <c r="G91" s="5">
        <v>86560</v>
      </c>
      <c r="H91" s="5" t="s">
        <v>48</v>
      </c>
      <c r="I91" s="5" t="s">
        <v>49</v>
      </c>
      <c r="J91" s="5" t="s">
        <v>5</v>
      </c>
      <c r="K91" s="6">
        <v>1</v>
      </c>
    </row>
    <row r="92" spans="1:11" x14ac:dyDescent="0.4">
      <c r="A92" s="1" t="s">
        <v>108</v>
      </c>
      <c r="B92" s="2">
        <v>20</v>
      </c>
      <c r="C92" s="2">
        <v>32025</v>
      </c>
      <c r="D92" s="2">
        <v>2</v>
      </c>
      <c r="E92" s="2" t="s">
        <v>112</v>
      </c>
      <c r="F92" s="2" t="s">
        <v>113</v>
      </c>
      <c r="G92" s="2">
        <v>86561</v>
      </c>
      <c r="H92" s="2" t="s">
        <v>15</v>
      </c>
      <c r="I92" s="2" t="s">
        <v>15</v>
      </c>
      <c r="J92" s="2" t="s">
        <v>5</v>
      </c>
      <c r="K92" s="3">
        <v>1</v>
      </c>
    </row>
    <row r="93" spans="1:11" x14ac:dyDescent="0.4">
      <c r="A93" s="4" t="s">
        <v>108</v>
      </c>
      <c r="B93" s="5">
        <v>20</v>
      </c>
      <c r="C93" s="5">
        <v>32025</v>
      </c>
      <c r="D93" s="5">
        <v>2</v>
      </c>
      <c r="E93" s="5" t="s">
        <v>112</v>
      </c>
      <c r="F93" s="5" t="s">
        <v>113</v>
      </c>
      <c r="G93" s="5">
        <v>86562</v>
      </c>
      <c r="H93" s="5" t="s">
        <v>73</v>
      </c>
      <c r="I93" s="5" t="s">
        <v>74</v>
      </c>
      <c r="J93" s="5" t="s">
        <v>5</v>
      </c>
      <c r="K93" s="6">
        <v>2</v>
      </c>
    </row>
    <row r="94" spans="1:11" x14ac:dyDescent="0.4">
      <c r="A94" s="1" t="s">
        <v>108</v>
      </c>
      <c r="B94" s="2">
        <v>20</v>
      </c>
      <c r="C94" s="2">
        <v>32025</v>
      </c>
      <c r="D94" s="2">
        <v>2</v>
      </c>
      <c r="E94" s="2" t="s">
        <v>112</v>
      </c>
      <c r="F94" s="2" t="s">
        <v>113</v>
      </c>
      <c r="G94" s="2">
        <v>86563</v>
      </c>
      <c r="H94" s="2" t="s">
        <v>114</v>
      </c>
      <c r="I94" s="2" t="s">
        <v>115</v>
      </c>
      <c r="J94" s="2" t="s">
        <v>5</v>
      </c>
      <c r="K94" s="3">
        <v>2</v>
      </c>
    </row>
    <row r="95" spans="1:11" x14ac:dyDescent="0.4">
      <c r="A95" s="4" t="s">
        <v>108</v>
      </c>
      <c r="B95" s="5">
        <v>20</v>
      </c>
      <c r="C95" s="5">
        <v>32025</v>
      </c>
      <c r="D95" s="5">
        <v>2</v>
      </c>
      <c r="E95" s="5" t="s">
        <v>112</v>
      </c>
      <c r="F95" s="5" t="s">
        <v>113</v>
      </c>
      <c r="G95" s="5">
        <v>86564</v>
      </c>
      <c r="H95" s="5" t="s">
        <v>73</v>
      </c>
      <c r="I95" s="5" t="s">
        <v>74</v>
      </c>
      <c r="J95" s="5" t="s">
        <v>5</v>
      </c>
      <c r="K95" s="6">
        <v>3</v>
      </c>
    </row>
    <row r="96" spans="1:11" x14ac:dyDescent="0.4">
      <c r="A96" s="1" t="s">
        <v>108</v>
      </c>
      <c r="B96" s="2">
        <v>20</v>
      </c>
      <c r="C96" s="2">
        <v>32025</v>
      </c>
      <c r="D96" s="2">
        <v>2</v>
      </c>
      <c r="E96" s="2" t="s">
        <v>112</v>
      </c>
      <c r="F96" s="2" t="s">
        <v>113</v>
      </c>
      <c r="G96" s="2">
        <v>86565</v>
      </c>
      <c r="H96" s="2" t="s">
        <v>116</v>
      </c>
      <c r="I96" s="2" t="s">
        <v>117</v>
      </c>
      <c r="J96" s="2" t="s">
        <v>5</v>
      </c>
      <c r="K96" s="3">
        <v>3</v>
      </c>
    </row>
    <row r="97" spans="1:11" x14ac:dyDescent="0.4">
      <c r="A97" s="4" t="s">
        <v>108</v>
      </c>
      <c r="B97" s="5">
        <v>20</v>
      </c>
      <c r="C97" s="5">
        <v>32025</v>
      </c>
      <c r="D97" s="5">
        <v>2</v>
      </c>
      <c r="E97" s="5" t="s">
        <v>112</v>
      </c>
      <c r="F97" s="5" t="s">
        <v>113</v>
      </c>
      <c r="G97" s="5">
        <v>86566</v>
      </c>
      <c r="H97" s="5" t="s">
        <v>82</v>
      </c>
      <c r="I97" s="5" t="s">
        <v>83</v>
      </c>
      <c r="J97" s="5" t="s">
        <v>5</v>
      </c>
      <c r="K97" s="6">
        <v>5</v>
      </c>
    </row>
    <row r="98" spans="1:11" x14ac:dyDescent="0.4">
      <c r="A98" s="1" t="s">
        <v>108</v>
      </c>
      <c r="B98" s="2">
        <v>20</v>
      </c>
      <c r="C98" s="2">
        <v>32025</v>
      </c>
      <c r="D98" s="2">
        <v>2</v>
      </c>
      <c r="E98" s="2" t="s">
        <v>112</v>
      </c>
      <c r="F98" s="2" t="s">
        <v>113</v>
      </c>
      <c r="G98" s="2">
        <v>86567</v>
      </c>
      <c r="H98" s="2" t="s">
        <v>22</v>
      </c>
      <c r="I98" s="2" t="s">
        <v>22</v>
      </c>
      <c r="J98" s="2" t="s">
        <v>5</v>
      </c>
      <c r="K98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Binary</vt:lpstr>
      <vt:lpstr>Tool_Matrix</vt:lpstr>
      <vt:lpstr>32025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Malayam Gajendran, Gnaneshwar</dc:creator>
  <cp:lastModifiedBy>Malayam Gajendran, Gnaneshwar</cp:lastModifiedBy>
  <dcterms:created xsi:type="dcterms:W3CDTF">2025-11-12T11:35:12Z</dcterms:created>
  <dcterms:modified xsi:type="dcterms:W3CDTF">2025-11-12T12:32:05Z</dcterms:modified>
</cp:coreProperties>
</file>